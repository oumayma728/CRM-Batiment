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D:\working\waccache\MR1PEPF0000115D\EXCELCNV\f953bca1-fb4b-42ca-91ff-2bfe9b919bf7\"/>
    </mc:Choice>
  </mc:AlternateContent>
  <xr:revisionPtr revIDLastSave="0" documentId="8_{2A0FFCB6-CA5D-4F38-B78F-609F42691C57}" xr6:coauthVersionLast="47" xr6:coauthVersionMax="47" xr10:uidLastSave="{00000000-0000-0000-0000-000000000000}"/>
  <bookViews>
    <workbookView xWindow="-60" yWindow="-60" windowWidth="15480" windowHeight="11640" activeTab="4" xr2:uid="{00000000-000D-0000-FFFF-FFFF00000000}"/>
  </bookViews>
  <sheets>
    <sheet name="Checklist manuelle" sheetId="1" r:id="rId1"/>
    <sheet name="Jeu de données" sheetId="3" r:id="rId2"/>
    <sheet name="Comptes de test" sheetId="4" r:id="rId3"/>
    <sheet name="Anomalies" sheetId="5" r:id="rId4"/>
    <sheet name="Résumé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2" l="1"/>
  <c r="D18" i="2"/>
  <c r="C18" i="2"/>
  <c r="B18" i="2"/>
  <c r="F18" i="2" s="1"/>
  <c r="E17" i="2"/>
  <c r="D17" i="2"/>
  <c r="C17" i="2"/>
  <c r="B17" i="2"/>
  <c r="F17" i="2" s="1"/>
  <c r="E16" i="2"/>
  <c r="D16" i="2"/>
  <c r="C16" i="2"/>
  <c r="B16" i="2"/>
  <c r="F16" i="2" s="1"/>
  <c r="E15" i="2"/>
  <c r="D15" i="2"/>
  <c r="C15" i="2"/>
  <c r="B15" i="2"/>
  <c r="F15" i="2" s="1"/>
  <c r="E14" i="2"/>
  <c r="D14" i="2"/>
  <c r="C14" i="2"/>
  <c r="B14" i="2"/>
  <c r="F14" i="2" s="1"/>
  <c r="E13" i="2"/>
  <c r="D13" i="2"/>
  <c r="C13" i="2"/>
  <c r="B13" i="2"/>
  <c r="F13" i="2" s="1"/>
  <c r="B9" i="2"/>
  <c r="E8" i="2"/>
  <c r="B8" i="2"/>
  <c r="E7" i="2"/>
  <c r="B7" i="2"/>
  <c r="E6" i="2"/>
  <c r="B6" i="2"/>
  <c r="E5" i="2"/>
  <c r="B5" i="2"/>
  <c r="E4" i="2"/>
  <c r="B4" i="2"/>
</calcChain>
</file>

<file path=xl/sharedStrings.xml><?xml version="1.0" encoding="utf-8"?>
<sst xmlns="http://schemas.openxmlformats.org/spreadsheetml/2006/main" count="957" uniqueCount="610">
  <si>
    <t>Checklist de recette manuelle – périmètre final</t>
  </si>
  <si>
    <t>Fin de stage : seuls les tests essentiels sont conservés, avec leurs résultats réels et les anomalies identifiées.</t>
  </si>
  <si>
    <t>Test ID</t>
  </si>
  <si>
    <t>Priorité</t>
  </si>
  <si>
    <t>Rôle</t>
  </si>
  <si>
    <t>Module</t>
  </si>
  <si>
    <t>Précondition</t>
  </si>
  <si>
    <t>Données de test</t>
  </si>
  <si>
    <t>Étapes</t>
  </si>
  <si>
    <t>Résultat attendu</t>
  </si>
  <si>
    <t>Statut</t>
  </si>
  <si>
    <t>Résultat observé</t>
  </si>
  <si>
    <t>Sévérité anomalie</t>
  </si>
  <si>
    <t>Preuve / capture</t>
  </si>
  <si>
    <t>ID anomalie</t>
  </si>
  <si>
    <t>Commentaire</t>
  </si>
  <si>
    <t>AUTH-001</t>
  </si>
  <si>
    <t>P0</t>
  </si>
  <si>
    <t>Tous</t>
  </si>
  <si>
    <t>Authentification</t>
  </si>
  <si>
    <t>Backend et frontend lancés</t>
  </si>
  <si>
    <t>Compte valide du rôle</t>
  </si>
  <si>
    <t>1. Ouvrir /login
2. Saisir email et mot de passe valides
3. Cliquer Se connecter</t>
  </si>
  <si>
    <t>Connexion réussie et redirection vers la route du rôle.</t>
  </si>
  <si>
    <t>Réussi</t>
  </si>
  <si>
    <t>La connexion a réussi avec les comptes de test et chaque utilisateur a été redirigé vers l’espace correspondant à son rôle.</t>
  </si>
  <si>
    <t>AUTH-002</t>
  </si>
  <si>
    <t>Page /login ouverte</t>
  </si>
  <si>
    <t>Mot de passe incorrect</t>
  </si>
  <si>
    <t>Saisir un compte valide avec un mot de passe incorrect.</t>
  </si>
  <si>
    <t>Message d’erreur clair ; aucun token créé ; aucune redirection.</t>
  </si>
  <si>
    <t>La connexion avec un mot de passe incorrect a été refusée, un message d’erreur a été affiché et aucune redirection n’a eu lieu.</t>
  </si>
  <si>
    <t>AUTH-004</t>
  </si>
  <si>
    <t>Sécurité</t>
  </si>
  <si>
    <t>Utilisateur déconnecté</t>
  </si>
  <si>
    <t>URL protégée du rôle</t>
  </si>
  <si>
    <t>Coller directement une URL protégée dans le navigateur.</t>
  </si>
  <si>
    <t>Redirection vers /login ; aucune donnée sensible affichée.</t>
  </si>
  <si>
    <t>L’ouverture directe d’une URL protégée sans session a redirigé vers /login sans afficher de donnée métier.</t>
  </si>
  <si>
    <t>AUTH-005</t>
  </si>
  <si>
    <t>Routage</t>
  </si>
  <si>
    <t>Utilisateur connecté</t>
  </si>
  <si>
    <t>Routes attendues selon le rôle</t>
  </si>
  <si>
    <t>Se connecter successivement avec les 5 comptes.</t>
  </si>
  <si>
    <t>ADMIN→/admin ; ASSISTANTE→/assistante ; TECHNICO→/technico ; CHEF→/chef-chantier ; SOUS_TRAITANT→/sous-traitant.</t>
  </si>
  <si>
    <t>Les cinq comptes ont été redirigés vers les routes attendues : /admin, /assistante, /technico, /chef-chantier et /sous-traitant.</t>
  </si>
  <si>
    <t>ADM-001</t>
  </si>
  <si>
    <t>Admin</t>
  </si>
  <si>
    <t>Dashboard</t>
  </si>
  <si>
    <t>Données métier créées</t>
  </si>
  <si>
    <t>DEV-01, DEV-02, FACT-01, CHANT-01</t>
  </si>
  <si>
    <t>Ouvrir /admin et vérifier chaque indicateur.</t>
  </si>
  <si>
    <t>Les compteurs et montants correspondent aux données.</t>
  </si>
  <si>
    <t>Le dashboard affiche les mêmes nombres que les pages Devis, Factures et Chantiers. Aucun écart constaté.</t>
  </si>
  <si>
    <t>ADM-002</t>
  </si>
  <si>
    <t>Utilisateurs</t>
  </si>
  <si>
    <t>Compte Admin connecté</t>
  </si>
  <si>
    <t>Données des 3 nouveaux rôles</t>
  </si>
  <si>
    <t>Créer ou modifier un utilisateur de chaque rôle.</t>
  </si>
  <si>
    <t>Rôle, email, statut actif et mot de passe sont enregistrés.</t>
  </si>
  <si>
    <t>Les trois utilisateurs Assistante, Chef de chantier et Sous-traitant ont été créés avec le bon rôle et le statut Actif.</t>
  </si>
  <si>
    <t>ADM-003</t>
  </si>
  <si>
    <t>Utilisateur test existant</t>
  </si>
  <si>
    <t>Compte temporaire</t>
  </si>
  <si>
    <t>Désactiver le compte puis tenter de se connecter.</t>
  </si>
  <si>
    <t>Connexion refusée pour le compte désactivé.</t>
  </si>
  <si>
    <t>Compte désactivé</t>
  </si>
  <si>
    <t>ADM-004</t>
  </si>
  <si>
    <t>Clients</t>
  </si>
  <si>
    <t>N/A</t>
  </si>
  <si>
    <t>CLI-01</t>
  </si>
  <si>
    <t>Créer CLI-01 puis rechercher par nom et email.</t>
  </si>
  <si>
    <t>Client visible avec toutes les informations saisies.</t>
  </si>
  <si>
    <t>Le client Amina Test Admin a été créé et retrouvé par son nom et son email.</t>
  </si>
  <si>
    <t>ADM-005</t>
  </si>
  <si>
    <t>Demandes</t>
  </si>
  <si>
    <t>CLI-01 créé</t>
  </si>
  <si>
    <t>DEM-01</t>
  </si>
  <si>
    <t>Créer la demande puis filtrer par statut NOUVEAU.</t>
  </si>
  <si>
    <t>Demande visible, liée au bon client, statut NOUVEAU.</t>
  </si>
  <si>
    <t>La demande de devis a été créée pour Amina Test Admin, retrouvée dans la liste et affichée avec le statut Nouveau.</t>
  </si>
  <si>
    <t>ADM-006</t>
  </si>
  <si>
    <t>Chantiers</t>
  </si>
  <si>
    <t>CLI-01 et DEV-01 disponibles</t>
  </si>
  <si>
    <t>CHANT-01</t>
  </si>
  <si>
    <t>Créer CHANT-01 et affecter Julien Bernard.</t>
  </si>
  <si>
    <t>Chantier créé et visible dans l’espace Chef.</t>
  </si>
  <si>
    <t>Le chantier CHANT-ADM-MAN-001 a été créé et retrouvé dans l’espace Chef de chantier.</t>
  </si>
  <si>
    <t>ADM-007</t>
  </si>
  <si>
    <t>Tâches chantier</t>
  </si>
  <si>
    <t>CHANT-01 créé</t>
  </si>
  <si>
    <t>TACH-01 à TACH-03</t>
  </si>
  <si>
    <t>Affecter TACH-01 à l’Équipe interne principale et TACH-02/TACH-03 à Lucas Moreau. Vérifier les tâches dans les espaces Chef et Sous-traitant.</t>
  </si>
  <si>
    <t>La tâche interne est visible par le Chef et les deux tâches sous-traitant sont visibles uniquement par Lucas Moreau.</t>
  </si>
  <si>
    <t>La tâche Préparation chantier ADM-MAN a été affectée à l’Équipe interne principale et elle est visible dans l’espace Chef de chantier.</t>
  </si>
  <si>
    <t>ADM-008</t>
  </si>
  <si>
    <t>P1</t>
  </si>
  <si>
    <t>Documents</t>
  </si>
  <si>
    <t>CHANT-01 et CHANT-02 créés</t>
  </si>
  <si>
    <t>DOC-01 à DOC-03</t>
  </si>
  <si>
    <t>Ajouter les documents aux chantiers.</t>
  </si>
  <si>
    <t>Documents associés au bon chantier et téléchargeables.</t>
  </si>
  <si>
    <t>Échoué</t>
  </si>
  <si>
    <t>Aucune fonctionnalité ne permet d’ajouter un document à un chantier. La liste des chantiers propose uniquement les actions Modifier et Supprimer, et le formulaire de modification ne contient aucun champ ou onglet Documents. Il est donc impossible d’associer DOC-01, DOC-02 et DOC-03 aux chantiers ou de vérifier leur téléchargement.</t>
  </si>
  <si>
    <t>Haute</t>
  </si>
  <si>
    <t>Capture de la liste et du formulaire chantier sans section Documents</t>
  </si>
  <si>
    <t>BUG-ADM-008-01</t>
  </si>
  <si>
    <t>Fonctionnalité Documents chantier absente de l’interface Admin.</t>
  </si>
  <si>
    <t>ADM-009</t>
  </si>
  <si>
    <t>Catalogue</t>
  </si>
  <si>
    <t>FOUR-01, MAT-01, MO-01, PRES-01</t>
  </si>
  <si>
    <t>Créer fournisseur, matériau, main-d’œuvre et prestation.</t>
  </si>
  <si>
    <t>Toutes les entités sont enregistrées ; boutons principaux bleus.</t>
  </si>
  <si>
    <t>Le fournisseur, le matériau, le service de main-d’œuvre et la prestation de test ont été créés et retrouvés dans leurs listes.</t>
  </si>
  <si>
    <t>La création est validée. Les boutons Modifier du catalogue ne déclenchent actuellement aucune action ; voir BUG-ADM-CATALOGUE-EDIT-001.</t>
  </si>
  <si>
    <t>ADM-010</t>
  </si>
  <si>
    <t>Compositions</t>
  </si>
  <si>
    <t>MAT-01, MO-01, PRES-01 créés</t>
  </si>
  <si>
    <t>Composition de PRES-01</t>
  </si>
  <si>
    <t>Créer une composition combinant matériau et main-d’œuvre.</t>
  </si>
  <si>
    <t>Composition visible avec quantités et coûts cohérents.</t>
  </si>
  <si>
    <t>À tester</t>
  </si>
  <si>
    <t>ADM-EDIT-001</t>
  </si>
  <si>
    <t>Catalogue / édition</t>
  </si>
  <si>
    <t>Matériau, main-d’œuvre, prestation et composition existants</t>
  </si>
  <si>
    <t>MAT-01, MO-01, PRES-01</t>
  </si>
  <si>
    <t>Cliquer sur Modifier pour un matériau, un service de main-d’œuvre, une prestation et une composition.</t>
  </si>
  <si>
    <t>Une modale préremplie s’ouvre et la modification enregistrée reste visible après actualisation.</t>
  </si>
  <si>
    <t>Les icônes Modifier sont affichées mais ne déclenchent aucune ouverture de formulaire ni action de mise à jour.</t>
  </si>
  <si>
    <t>Capture des listes Catalogue avec les icônes Modifier</t>
  </si>
  <si>
    <t>BUG-ADM-CATALOGUE-EDIT-001</t>
  </si>
  <si>
    <t>Défaut commun aux pages Prestations, Compositions, Matériaux et Main-d’œuvre.</t>
  </si>
  <si>
    <t>ADM-012</t>
  </si>
  <si>
    <t>Audit</t>
  </si>
  <si>
    <t>Au moins 5 modifications effectuées</t>
  </si>
  <si>
    <t>Actions précédentes</t>
  </si>
  <si>
    <t>Ouvrir Audit et filtrer par entité puis date.</t>
  </si>
  <si>
    <t>Anciennes/nouvelles valeurs et auteur sont affichés.</t>
  </si>
  <si>
    <t>L’Audit a affiché les actions exécutées avec l’auteur, la date et les anciennes/nouvelles valeurs disponibles.</t>
  </si>
  <si>
    <t>ADM-013</t>
  </si>
  <si>
    <t>Base IA/RAG</t>
  </si>
  <si>
    <t>Compte Admin</t>
  </si>
  <si>
    <t>Document RAG de test</t>
  </si>
  <si>
    <t>Ajouter, modifier, désactiver puis rechercher un document.</t>
  </si>
  <si>
    <t>Opérations réussies et modal avec arrière-plan flou.</t>
  </si>
  <si>
    <t>AST-001</t>
  </si>
  <si>
    <t>Assistante</t>
  </si>
  <si>
    <t>Compte Assistante</t>
  </si>
  <si>
    <t>assistante@batiment-pro.fr</t>
  </si>
  <si>
    <t>Se connecter.</t>
  </si>
  <si>
    <t>Redirection /assistante,</t>
  </si>
  <si>
    <t>La connexion avec le compte Assistante a redirigé vers /assistante.</t>
  </si>
  <si>
    <t>AST-002</t>
  </si>
  <si>
    <t>CLI-03</t>
  </si>
  <si>
    <t>Créer ou modifier CLI-03.</t>
  </si>
  <si>
    <t>Opération autorisée et données enregistrées.</t>
  </si>
  <si>
    <t>AST-003</t>
  </si>
  <si>
    <t>Devis</t>
  </si>
  <si>
    <t>DEV-01 existant</t>
  </si>
  <si>
    <t>DEV-01</t>
  </si>
  <si>
    <t>Consulter le devis et ses documents autorisés.</t>
  </si>
  <si>
    <t>Informations commerciales autorisées visibles.</t>
  </si>
  <si>
    <t>AST-004</t>
  </si>
  <si>
    <t>Factures</t>
  </si>
  <si>
    <t>FACT-01</t>
  </si>
  <si>
    <t>Créer/consulter FACT-01 et filtrer ENVOYEE.</t>
  </si>
  <si>
    <t>Facture visible et statut cohérent.</t>
  </si>
  <si>
    <t>AST-005</t>
  </si>
  <si>
    <t>SAV</t>
  </si>
  <si>
    <t>SAV-02</t>
  </si>
  <si>
    <t>Consulter, ajouter une note et changer un statut autorisé.</t>
  </si>
  <si>
    <t>Action enregistrée et visible dans l’historique.</t>
  </si>
  <si>
    <t>AST-007</t>
  </si>
  <si>
    <t>Permissions</t>
  </si>
  <si>
    <t>/admin/users</t>
  </si>
  <si>
    <t>Coller /admin/users directement.</t>
  </si>
  <si>
    <t>Accès refusé ou redirection ; aucune donnée utilisateur sensible.</t>
  </si>
  <si>
    <t>L’accès direct à /admin/users avec le compte Assistante a été refusé ou redirigé sans exposer les données utilisateurs.</t>
  </si>
  <si>
    <t>TEC-001</t>
  </si>
  <si>
    <t>Technico</t>
  </si>
  <si>
    <t>Compte Technico</t>
  </si>
  <si>
    <t>technico@batiment-pro.fr</t>
  </si>
  <si>
    <t>Redirection /technico.</t>
  </si>
  <si>
    <t>La connexion avec le compte Technico a redirigé vers /technico.</t>
  </si>
  <si>
    <t>TEC-002</t>
  </si>
  <si>
    <t>Créer CLI-01 puis ouvrir sa fiche.</t>
  </si>
  <si>
    <t>Client créé et fiche complète.</t>
  </si>
  <si>
    <t>TEC-003</t>
  </si>
  <si>
    <t>Créer une demande depuis la fiche client.</t>
  </si>
  <si>
    <t>Demande visible dans /technico/demandes.</t>
  </si>
  <si>
    <t>TEC-004</t>
  </si>
  <si>
    <t>DEM-01 au statut NOUVEAU</t>
  </si>
  <si>
    <t>Cliquer Générer le devis.</t>
  </si>
  <si>
    <t>Statut passe EN_COURS et navigation vers la checklist.</t>
  </si>
  <si>
    <t>TEC-005</t>
  </si>
  <si>
    <t>Checklist devis</t>
  </si>
  <si>
    <t>DEM-01 en cours</t>
  </si>
  <si>
    <t>Besoins de DEM-01</t>
  </si>
  <si>
    <t>Compléter les informations nécessaires.</t>
  </si>
  <si>
    <t>Checklist sauvegardée sans perte de données.</t>
  </si>
  <si>
    <t>TEC-006</t>
  </si>
  <si>
    <t>Checklist complétée</t>
  </si>
  <si>
    <t>Générer puis ouvrir le devis.</t>
  </si>
  <si>
    <t>Devis lié à DEM-01 et CLI-01.</t>
  </si>
  <si>
    <t>TEC-007</t>
  </si>
  <si>
    <t>DEV-01 créé</t>
  </si>
  <si>
    <t>Modifier une quantité et recalculer.</t>
  </si>
  <si>
    <t>HT, TVA, TTC, coût et marge sont recalculés.</t>
  </si>
  <si>
    <t>TEC-009</t>
  </si>
  <si>
    <t>Signature</t>
  </si>
  <si>
    <t>DEV-01 prêt</t>
  </si>
  <si>
    <t>Téléphone CLI-01</t>
  </si>
  <si>
    <t>Lancer le flux de signature autorisé.</t>
  </si>
  <si>
    <t>Demande de signature créée et statut cohérent.</t>
  </si>
  <si>
    <t>TEC-012</t>
  </si>
  <si>
    <t>Assistant IA</t>
  </si>
  <si>
    <t>Documents RAG disponibles</t>
  </si>
  <si>
    <t>Question liée aux prestations</t>
  </si>
  <si>
    <t>Poser une question métier.</t>
  </si>
  <si>
    <t>Réponse utile, sans donnée sensible ni hallucination manifeste.</t>
  </si>
  <si>
    <t>TEC-013</t>
  </si>
  <si>
    <t>/admin/users et /admin/audit</t>
  </si>
  <si>
    <t>Tenter les accès directs.</t>
  </si>
  <si>
    <t>Accès refusés.</t>
  </si>
  <si>
    <t>Les accès directs du Technico aux pages Admin Utilisateurs et Audit ont été refusés.</t>
  </si>
  <si>
    <t>CHEF-001</t>
  </si>
  <si>
    <t>Chef de chantier</t>
  </si>
  <si>
    <t>Compte Chef</t>
  </si>
  <si>
    <t>chef.chantier@batiment-pro.fr</t>
  </si>
  <si>
    <t>Redirection /chef-chantier</t>
  </si>
  <si>
    <t>La connexion avec le compte Chef de chantier a redirigé vers /chef-chantier.</t>
  </si>
  <si>
    <t>CHEF-002</t>
  </si>
  <si>
    <t>CHANT-01 affecté</t>
  </si>
  <si>
    <t>Ouvrir le dashboard.</t>
  </si>
  <si>
    <t>CHANT-01 et ses compteurs sont visibles.</t>
  </si>
  <si>
    <t>Le dashboard Chef a affiché le chantier affecté ainsi que ses compteurs.</t>
  </si>
  <si>
    <t>CHEF-003</t>
  </si>
  <si>
    <t>Isolation chantiers</t>
  </si>
  <si>
    <t>Ouvrir Mes chantiers.</t>
  </si>
  <si>
    <t>Affichage ces chantiers de chef chantier</t>
  </si>
  <si>
    <t>La page Mes chantiers a affiché uniquement les chantiers accessibles au Chef connecté.</t>
  </si>
  <si>
    <t>CHEF-004</t>
  </si>
  <si>
    <t>Tâches</t>
  </si>
  <si>
    <t>TACH-01 affectée</t>
  </si>
  <si>
    <t>TACH-01</t>
  </si>
  <si>
    <t>Ouvrir Tâches chantier.</t>
  </si>
  <si>
    <t>TACH-01 visible avec statut et avancement.</t>
  </si>
  <si>
    <t>La tâche interne affectée au Chef était visible avec son état dans l’espace Tâches chantier.</t>
  </si>
  <si>
    <t>CHEF-005</t>
  </si>
  <si>
    <t>TACH-01 A_FAIRE</t>
  </si>
  <si>
    <t>Cocher la tâche Préparation et sécurisation du chantier pour la passer à Do, puis actualiser la page.</t>
  </si>
  <si>
    <t>La tâche passe à Do et reste cochée après actualisation.</t>
  </si>
  <si>
    <t>La tâche a été cochée, est passée de Not do à Do et l’état est resté enregistré après actualisation.</t>
  </si>
  <si>
    <t>CHEF-010</t>
  </si>
  <si>
    <t>/admin/users, /technico, /sous-traitant</t>
  </si>
  <si>
    <t>Tenter les URL directes.</t>
  </si>
  <si>
    <t>Redirection vers /chef-chantier ou accès refusé.</t>
  </si>
  <si>
    <t>Les URL des autres espaces ont été refusées ou redirigées vers /chef-chantier.</t>
  </si>
  <si>
    <t>ST-001</t>
  </si>
  <si>
    <t>Sous-traitant</t>
  </si>
  <si>
    <t>Compte Sous-traitant</t>
  </si>
  <si>
    <t>sous.traitant@batiment-pro.fr</t>
  </si>
  <si>
    <t>Redirection /sous-traitant</t>
  </si>
  <si>
    <t>La connexion avec le compte Sous-traitant a redirigé vers /sous-traitant.</t>
  </si>
  <si>
    <t>ST-002</t>
  </si>
  <si>
    <t>TACH-02 et TACH-03 affectées</t>
  </si>
  <si>
    <t>TACH-02, TACH-03</t>
  </si>
  <si>
    <t>Statistiques basées uniquement sur ses tâches.</t>
  </si>
  <si>
    <t>Le dashboard Sous-traitant a affiché des statistiques calculées uniquement à partir de ses tâches affectées.</t>
  </si>
  <si>
    <t>ST-003</t>
  </si>
  <si>
    <t>Tâches liées à CHANT-01</t>
  </si>
  <si>
    <t>CHANT-01 visible car une tâche lui est affectée.</t>
  </si>
  <si>
    <t>CHANT-01 était visible dans Mes chantiers car des tâches du chantier étaient affectées au Sous-traitant.</t>
  </si>
  <si>
    <t>ST-004</t>
  </si>
  <si>
    <t>CHANT-02 sans tâche affectée</t>
  </si>
  <si>
    <t>CHANT-02</t>
  </si>
  <si>
    <t>Rechercher ou appeler CHANT-02.</t>
  </si>
  <si>
    <t>CHANT-02 absent ; backend 403/404.</t>
  </si>
  <si>
    <t>CHANT-02, sans tâche affectée au Sous-traitant, n’était pas visible et l’accès direct a été refusé.</t>
  </si>
  <si>
    <t>ST-005</t>
  </si>
  <si>
    <t>Ouvrir Mes tâches.</t>
  </si>
  <si>
    <t>Seulement TACH-02 et TACH-03 visibles.</t>
  </si>
  <si>
    <t>Seules TACH-02 et TACH-03 étaient visibles dans l’espace du Sous-traitant.</t>
  </si>
  <si>
    <t>ST-006</t>
  </si>
  <si>
    <t>TACH-02 A_FAIRE</t>
  </si>
  <si>
    <t>TACH-02</t>
  </si>
  <si>
    <t>Passer TACH-02 à EN_COURS et avancement=30.</t>
  </si>
  <si>
    <t>Mise à jour enregistrée.</t>
  </si>
  <si>
    <t>TACH-02 a été passée à En cours avec un avancement de 30 %, puis la mise à jour est restée enregistrée.</t>
  </si>
  <si>
    <t>ST-008</t>
  </si>
  <si>
    <t>Sécurité tâches</t>
  </si>
  <si>
    <t>TACH-01 affectée au Chef</t>
  </si>
  <si>
    <t>Essayer de modifier TACH-01 par URL/API.</t>
  </si>
  <si>
    <t>Accès refusé ; tâche inchangée.</t>
  </si>
  <si>
    <t>La tentative de modification de la tâche du Chef a été refusée et la tâche est restée inchangée.</t>
  </si>
  <si>
    <t>SAV-001</t>
  </si>
  <si>
    <t>Admin/Technico</t>
  </si>
  <si>
    <t>CLI-01 et CHANT-01 créés</t>
  </si>
  <si>
    <t>SAV-01</t>
  </si>
  <si>
    <t>Créer le ticket SAV.</t>
  </si>
  <si>
    <t>Référence générée, statut OUVERT, priorité HAUTE.</t>
  </si>
  <si>
    <t>Le ticket SAV a été créé avec une référence automatique. Il est visible dans la liste avec le statut Ouvert et la priorité Haute.</t>
  </si>
  <si>
    <t>SAV-002</t>
  </si>
  <si>
    <t>SAV-01 créé</t>
  </si>
  <si>
    <t>Affecter le ticket au Technico.</t>
  </si>
  <si>
    <t>Utilisateur affecté et notification visible.</t>
  </si>
  <si>
    <t>Le ticket est affecté à Marc Dupont. Il apparaît dans l’espace Technico et une notification est visible sans actualisation manuelle.</t>
  </si>
  <si>
    <t>SAV-003</t>
  </si>
  <si>
    <t>SAV-01 affecté</t>
  </si>
  <si>
    <t>Passer OUVERT → EN_COURS.</t>
  </si>
  <si>
    <t>Statut enregistré et audit créé.</t>
  </si>
  <si>
    <t>Le ticket a été passé de Ouvert à En cours ; le changement est resté enregistré et a été retrouvé dans l’Audit.</t>
  </si>
  <si>
    <t>SAV-005</t>
  </si>
  <si>
    <t>SAV-01 en cours</t>
  </si>
  <si>
    <t>Passer à RESOLU avec date de résolution.</t>
  </si>
  <si>
    <t>Date renseignée automatiquement ou correctement.</t>
  </si>
  <si>
    <t>Le ticket a été passé de En cours à Résolu et les informations de résolution ont été conservées.</t>
  </si>
  <si>
    <t>SAV-006</t>
  </si>
  <si>
    <t>SAV-01 résolu</t>
  </si>
  <si>
    <t>Clôturer le ticket.</t>
  </si>
  <si>
    <t>Statut CLOTURE ; ticket conservé dans l’historique.</t>
  </si>
  <si>
    <t>Le ticket SAV résolu a été passé au statut Clôturé. Il reste visible dans la liste filtrée et toutes ses informations ainsi que ses notes internes sont conservées.</t>
  </si>
  <si>
    <t>DEMO-001</t>
  </si>
  <si>
    <t>Public</t>
  </si>
  <si>
    <t>Mode Démo</t>
  </si>
  <si>
    <t>Frontend lancé</t>
  </si>
  <si>
    <t>DEMO-01</t>
  </si>
  <si>
    <t>Soumettre le formulaire public.</t>
  </si>
  <si>
    <t>Demande créée, confirmation affichée.</t>
  </si>
  <si>
    <t>SEC-001</t>
  </si>
  <si>
    <t>API</t>
  </si>
  <si>
    <t>Sans token</t>
  </si>
  <si>
    <t>GET /api/demandes-devis</t>
  </si>
  <si>
    <t>Appeler l’API sans Authorization.</t>
  </si>
  <si>
    <t>Réponse 401.</t>
  </si>
  <si>
    <t>L’appel de l’API sans jeton d’authentification a retourné une réponse 401.</t>
  </si>
  <si>
    <t>SEC-008</t>
  </si>
  <si>
    <t>Validation</t>
  </si>
  <si>
    <t>Champs obligatoires vides</t>
  </si>
  <si>
    <t>Formulaires création</t>
  </si>
  <si>
    <t>Soumettre sans données obligatoires.</t>
  </si>
  <si>
    <t>Création bloquée avec messages compréhensibles.</t>
  </si>
  <si>
    <t>Les formulaires testés ont bloqué l’enregistrement lorsque les champs obligatoires étaient vides et ont affiché une validation.</t>
  </si>
  <si>
    <t>DEMO-007</t>
  </si>
  <si>
    <t>Admin/Assistante/Technico</t>
  </si>
  <si>
    <t>Demande PENDING ou CONTACTED disponible</t>
  </si>
  <si>
    <t>1. Ouvrir la demande
2. Choisir SCHEDULED sans assigné et/ou sans date
3. Enregistrer</t>
  </si>
  <si>
    <t>La planification est refusée avec un message clair ; le statut reste inchangé.</t>
  </si>
  <si>
    <t>DEMO-008</t>
  </si>
  <si>
    <t>DEMO-01 créée depuis le formulaire public</t>
  </si>
  <si>
    <t>Passer successivement PENDING → CONTACTED → SCHEDULED → DONE avec assigné, date et notes.</t>
  </si>
  <si>
    <t>Chaque transition valide est enregistrée ; DONE est affiché comme « Terminée » ; l’historique reste consultable.</t>
  </si>
  <si>
    <t>WS-001</t>
  </si>
  <si>
    <t>Admin/Assistante</t>
  </si>
  <si>
    <t>Notifications WebSocket</t>
  </si>
  <si>
    <t>Deux navigateurs ouverts : back-office connecté et formulaire public</t>
  </si>
  <si>
    <t>Soumettre une demande de démo dans le navigateur public sans actualiser le back-office.</t>
  </si>
  <si>
    <t>La cloche et/ou la liste des démos se mettent à jour en quelques secondes sans actualisation manuelle.</t>
  </si>
  <si>
    <t>La nouvelle demande de démonstration et/ou sa notification est apparue dans le back-office sans actualisation manuelle.</t>
  </si>
  <si>
    <t>WS-002</t>
  </si>
  <si>
    <t>Technico/Chef de chantier</t>
  </si>
  <si>
    <t>Deux sessions connectées et SAV-01 disponible</t>
  </si>
  <si>
    <t>Modifier ou commenter SAV-01 dans une session et observer l’autre session sans actualiser.</t>
  </si>
  <si>
    <t>La notification et les données SAV sont actualisées en temps réel pour les rôles autorisés.</t>
  </si>
  <si>
    <t>La modification SAV effectuée dans une session a été reflétée dans l’autre session autorisée sans actualisation manuelle.</t>
  </si>
  <si>
    <t>ST-UP-001</t>
  </si>
  <si>
    <t>Rapports &amp; photos</t>
  </si>
  <si>
    <t>Lucas affecté à TACH-02 ou TACH-03 sur CHANT-01</t>
  </si>
  <si>
    <t>Ouvrir Rapports &amp; photos, sélectionner CHANT-01, saisir un titre et un compte rendu puis enregistrer.</t>
  </si>
  <si>
    <t>Un document de type RAPPORT est créé, visible dans l’historique et accessible aux rôles autorisés.</t>
  </si>
  <si>
    <t>En cours</t>
  </si>
  <si>
    <t>Exécution commencée ; le résultat final reste à confirmer.</t>
  </si>
  <si>
    <t>ST-UP-002</t>
  </si>
  <si>
    <t>Lucas affecté à CHANT-01</t>
  </si>
  <si>
    <t>Image JPG/PNG/WEBP inférieure à 10 Mo</t>
  </si>
  <si>
    <t>Sélectionner CHANT-01, choisir une image valide, ajouter une légende puis envoyer.</t>
  </si>
  <si>
    <t>La photo est enregistrée comme document PHOTO, apparaît dans l’historique et peut être téléchargée.</t>
  </si>
  <si>
    <t>ST-UP-003</t>
  </si>
  <si>
    <t>Validation fichiers</t>
  </si>
  <si>
    <t>Page Rapports &amp; photos ouverte</t>
  </si>
  <si>
    <t>PDF ou fichier &gt; 10 Mo</t>
  </si>
  <si>
    <t>Essayer d’envoyer un format non autorisé puis une image dépassant 10 Mo.</t>
  </si>
  <si>
    <t>Les deux envois sont refusés avec un message compréhensible ; aucun document n’est créé.</t>
  </si>
  <si>
    <t>ST-UP-004</t>
  </si>
  <si>
    <t>Sécurité affectations</t>
  </si>
  <si>
    <t>Lucas n’est pas affecté à CHANT-02</t>
  </si>
  <si>
    <t>Modifier la requête ou l’identifiant pour créer un rapport/une photo sur CHANT-02.</t>
  </si>
  <si>
    <t>Le backend retourne 403/404 ; aucun fichier ni document n’est créé pour CHANT-02.</t>
  </si>
  <si>
    <t>La tentative de créer un rapport ou une photo sur CHANT-02 non affecté a été refusée par le backend et aucun document n’a été créé.</t>
  </si>
  <si>
    <t>Jeu de données de recette</t>
  </si>
  <si>
    <t>Code</t>
  </si>
  <si>
    <t>Ordre</t>
  </si>
  <si>
    <t>Entité</t>
  </si>
  <si>
    <t>Nom / Référence</t>
  </si>
  <si>
    <t>Dépend de</t>
  </si>
  <si>
    <t>Statut initial</t>
  </si>
  <si>
    <t>Responsable / Affectation</t>
  </si>
  <si>
    <t>Valeurs à saisir</t>
  </si>
  <si>
    <t>Utilisation dans les tests</t>
  </si>
  <si>
    <t>TP-01</t>
  </si>
  <si>
    <t>Type de projet</t>
  </si>
  <si>
    <t>Rénovation salle de bain</t>
  </si>
  <si>
    <t>ACTIF</t>
  </si>
  <si>
    <t>Description : Rénovation complète d’une salle de bain.</t>
  </si>
  <si>
    <t>Création et sélection dans les fiches clients</t>
  </si>
  <si>
    <t>TP-02</t>
  </si>
  <si>
    <t>Rénovation cuisine</t>
  </si>
  <si>
    <t>Description : Rénovation complète d’une cuisine.</t>
  </si>
  <si>
    <t>Filtrage et choix d’un second type</t>
  </si>
  <si>
    <t>Client</t>
  </si>
  <si>
    <t>Amina Ben Salah</t>
  </si>
  <si>
    <t>Prénom=Amina ; Nom=Ben Salah ; Email=amina.tests+crm@example.com ; Téléphone=20111222 ; Adresse client=12 rue des Jasmins, Tunis ; Adresse chantier=8 avenue Habib Bourguiba, La Marsa ; Source=SITE_WEB ; Type projet=TP-01</t>
  </si>
  <si>
    <t>Parcours nominal Client → Demande → Devis → Chantier</t>
  </si>
  <si>
    <t>CLI-02</t>
  </si>
  <si>
    <t>Hatem Trabelsi</t>
  </si>
  <si>
    <t>Email=hatem.tests+crm@example.com ; Téléphone=22333444 ; Adresse client=5 rue de Carthage, Tunis ; Adresse chantier=22 rue du Lac, Les Berges du Lac ; Source=APPEL ; Type projet=TP-02</t>
  </si>
  <si>
    <t>Chantier non affecté pour test d’isolation Chef/Sous-traitant</t>
  </si>
  <si>
    <t>Leïla Gharbi</t>
  </si>
  <si>
    <t>Email=leila.tests+crm@example.com ; Téléphone=24555666 ; Adresse client=10 avenue de France, Ariana ; Source=RECOMMANDATION ; Type projet=TP-01</t>
  </si>
  <si>
    <t>Tests Assistante et recherche client</t>
  </si>
  <si>
    <t>Demande de devis</t>
  </si>
  <si>
    <t>Demande salle de bain Amina</t>
  </si>
  <si>
    <t>NOUVEAU</t>
  </si>
  <si>
    <t>Description : Remplacement baignoire par douche italienne, carrelage mural, meuble vasque et éclairage. Budget indicatif : 18 000 TND. Délai souhaité : 6 semaines.</t>
  </si>
  <si>
    <t>Tester passage NOUVEAU → EN_COURS et génération du devis</t>
  </si>
  <si>
    <t>DEM-02</t>
  </si>
  <si>
    <t>Demande cuisine Hatem</t>
  </si>
  <si>
    <t>EN_COURS</t>
  </si>
  <si>
    <t>Description : Cuisine complète 14 m², meubles, plan de travail, plomberie et électricité.</t>
  </si>
  <si>
    <t>Tester filtre EN_COURS et accès aux détails</t>
  </si>
  <si>
    <t>Devis Amina – version initiale</t>
  </si>
  <si>
    <t>CLI-01 / DEM-01</t>
  </si>
  <si>
    <t>BROUILLON</t>
  </si>
  <si>
    <t>Taux TVA=20% ; 2 à 4 lignes de prestations ; Total cible entre 15 000 et 20 000 TND ; Notes=Validité 30 jours.</t>
  </si>
  <si>
    <t>Modifier, recalculer, envoyer et accepter le devis</t>
  </si>
  <si>
    <t>DEV-02</t>
  </si>
  <si>
    <t>Devis Hatem – refusé</t>
  </si>
  <si>
    <t>CLI-02 / DEM-02</t>
  </si>
  <si>
    <t>REFUSE</t>
  </si>
  <si>
    <t>Total cible=28 500 TND ; motif de refus à noter dans les commentaires.</t>
  </si>
  <si>
    <t>Dashboard, filtres de devis et audit</t>
  </si>
  <si>
    <t>Facture</t>
  </si>
  <si>
    <t>Facture finale Amina</t>
  </si>
  <si>
    <t>ENVOYEE</t>
  </si>
  <si>
    <t>Échéance dépassée de 5 jours ; montant TTC basé sur DEV-01 ; email client=amina.tests+crm@example.com.</t>
  </si>
  <si>
    <t>Tester facture impayée et notification</t>
  </si>
  <si>
    <t>FACT-02</t>
  </si>
  <si>
    <t>Facture payée Hatem</t>
  </si>
  <si>
    <t>PAYEE</t>
  </si>
  <si>
    <t>Date paiement renseignée ; montant TTC basé sur DEV-02.</t>
  </si>
  <si>
    <t>Tester filtres PAYEE / ENVOYEE</t>
  </si>
  <si>
    <t>Chantier</t>
  </si>
  <si>
    <t>Chantier Amina – La Marsa</t>
  </si>
  <si>
    <t>CLI-01 / DEV-01</t>
  </si>
  <si>
    <t>PLANIFIE</t>
  </si>
  <si>
    <t>Chef : Julien Bernard</t>
  </si>
  <si>
    <t>Adresse=8 avenue Habib Bourguiba, La Marsa ; Description=Rénovation salle de bain ; Date début=prochain lundi ; Date fin=+30 jours.</t>
  </si>
  <si>
    <t>Doit être visible par le Chef et le Sous-traitant si une tâche lui est affectée</t>
  </si>
  <si>
    <t>Chantier Hatem – Lac</t>
  </si>
  <si>
    <t>CLI-02 / DEV-02</t>
  </si>
  <si>
    <t>VISITE_TECHNIQUE</t>
  </si>
  <si>
    <t>Non affecté</t>
  </si>
  <si>
    <t>Adresse=22 rue du Lac, Les Berges du Lac ; Description=Rénovation cuisine.</t>
  </si>
  <si>
    <t>Ne doit pas être visible par Chef/Sous-traitant</t>
  </si>
  <si>
    <t>Tâche chantier</t>
  </si>
  <si>
    <t>Préparation et sécurisation du chantier</t>
  </si>
  <si>
    <t>A_FAIRE</t>
  </si>
  <si>
    <t>Avancement=0 ; Date début=prochain lundi ; Date fin=+2 jours ; Ordre=1.</t>
  </si>
  <si>
    <t>Chef : changement statut, avancement et commentaire</t>
  </si>
  <si>
    <t>Pose du carrelage mural</t>
  </si>
  <si>
    <t>Sous-traitant : Lucas Moreau</t>
  </si>
  <si>
    <t>Avancement=0 ; Date début=+7 jours ; Date fin=+12 jours ; Ordre=2.</t>
  </si>
  <si>
    <t>Sous-traitant : mise à jour et isolation des tâches</t>
  </si>
  <si>
    <t>TACH-03</t>
  </si>
  <si>
    <t>Installation meuble vasque</t>
  </si>
  <si>
    <t>BLOQUEE</t>
  </si>
  <si>
    <t>Avancement=25 ; Commentaire=En attente de livraison du meuble.</t>
  </si>
  <si>
    <t>Tester statut BLOQUEE et reprise EN_COURS</t>
  </si>
  <si>
    <t>TACH-04</t>
  </si>
  <si>
    <t>Mesures cuisine</t>
  </si>
  <si>
    <t>Avancement=0.</t>
  </si>
  <si>
    <t>Ne doit pas apparaître chez Chef/Sous-traitant</t>
  </si>
  <si>
    <t>DOC-01</t>
  </si>
  <si>
    <t>Document chantier</t>
  </si>
  <si>
    <t>Plan salle de bain.pdf</t>
  </si>
  <si>
    <t>DISPONIBLE</t>
  </si>
  <si>
    <t>Type=PLAN ; URL ou fichier de test valide.</t>
  </si>
  <si>
    <t>Consultation autorisée Chef et Sous-traitant</t>
  </si>
  <si>
    <t>DOC-02</t>
  </si>
  <si>
    <t>Photos avant travaux.zip</t>
  </si>
  <si>
    <t>Type=PHOTO ; contenu de test non sensible.</t>
  </si>
  <si>
    <t>Consultation et téléchargement</t>
  </si>
  <si>
    <t>DOC-03</t>
  </si>
  <si>
    <t>Plan cuisine.pdf</t>
  </si>
  <si>
    <t>Type=PLAN.</t>
  </si>
  <si>
    <t>Ticket SAV</t>
  </si>
  <si>
    <t>Joint de douche à reprendre</t>
  </si>
  <si>
    <t>CLI-01 / CHANT-01 / DEV-01</t>
  </si>
  <si>
    <t>OUVERT</t>
  </si>
  <si>
    <t>Assigné Technico</t>
  </si>
  <si>
    <t>Priorité=HAUTE ; Catégorie=DEFAUT_TRAVAUX ; Description=Fuite légère après première mise en eau.</t>
  </si>
  <si>
    <t>Parcours SAV complet et notification</t>
  </si>
  <si>
    <t>Question facture</t>
  </si>
  <si>
    <t>CLI-03 / FACT-01</t>
  </si>
  <si>
    <t>EN_ATTENTE_CLIENT</t>
  </si>
  <si>
    <t>Assigné Assistante</t>
  </si>
  <si>
    <t>Priorité=NORMALE ; Catégorie=FACTURATION.</t>
  </si>
  <si>
    <t>Filtres SAV et notes internes</t>
  </si>
  <si>
    <t>Demande de démo</t>
  </si>
  <si>
    <t>Nadia Khelifi – Studio NK</t>
  </si>
  <si>
    <t>PENDING</t>
  </si>
  <si>
    <t>Non affectée</t>
  </si>
  <si>
    <t>Email=nadia.demo+crm@example.com ; Téléphone=25123456 ; Entreprise=Studio NK ; Message=Demande de démonstration du CRM.</t>
  </si>
  <si>
    <t>Formulaire public → back-office → notification</t>
  </si>
  <si>
    <t>DEMO-02</t>
  </si>
  <si>
    <t>Karim Mansour – KM Bâtiment</t>
  </si>
  <si>
    <t>SCHEDULED</t>
  </si>
  <si>
    <t>Assignée Technico</t>
  </si>
  <si>
    <t>Email=karim.demo+crm@example.com ; Date démo=demain 15:00.</t>
  </si>
  <si>
    <t>Filtres et changement de statut</t>
  </si>
  <si>
    <t>FOUR-01</t>
  </si>
  <si>
    <t>Fournisseur</t>
  </si>
  <si>
    <t>Céramique Plus</t>
  </si>
  <si>
    <t>Contact=Salma Jaziri ; Email=fournisseur.tests+crm@example.com ; Téléphone=71111222 ; Types matériaux=Carrelage, colle, joints ; Délai=5 jours.</t>
  </si>
  <si>
    <t>Tests fournisseurs, matériaux et commandes</t>
  </si>
  <si>
    <t>MAT-01</t>
  </si>
  <si>
    <t>Matériau</t>
  </si>
  <si>
    <t>Carrelage mural blanc 30x60</t>
  </si>
  <si>
    <t>Unité=M2 ; Prix achat fixe=35.000 ; Couleur=Blanc ; Finition=Mate.</t>
  </si>
  <si>
    <t>Catalogue et devis</t>
  </si>
  <si>
    <t>MO-01</t>
  </si>
  <si>
    <t>Main-d’œuvre</t>
  </si>
  <si>
    <t>Pose carrelage mural</t>
  </si>
  <si>
    <t>Unité=M2 ; Prix unitaire=22.000 ; Productivité/jour=12.</t>
  </si>
  <si>
    <t>Catalogue, composition et devis</t>
  </si>
  <si>
    <t>PRES-01</t>
  </si>
  <si>
    <t>Prestation</t>
  </si>
  <si>
    <t>Fourniture et pose carrelage mural</t>
  </si>
  <si>
    <t>MAT-01 / MO-01</t>
  </si>
  <si>
    <t>Unité=M2 ; Prix vente min=65.000 ; Prix vente max=85.000 ; Catégorie=Revêtements.</t>
  </si>
  <si>
    <t>Composition et ligne de devis</t>
  </si>
  <si>
    <t>Comptes de test</t>
  </si>
  <si>
    <t>Utilisateur</t>
  </si>
  <si>
    <t>Email</t>
  </si>
  <si>
    <t>Mot de passe</t>
  </si>
  <si>
    <t>Route attendue</t>
  </si>
  <si>
    <t>Accès attendu</t>
  </si>
  <si>
    <t>Note</t>
  </si>
  <si>
    <t>ADMIN</t>
  </si>
  <si>
    <t>Super Admin</t>
  </si>
  <si>
    <t>admin@batiment-pro.fr</t>
  </si>
  <si>
    <t>Admin@2026!</t>
  </si>
  <si>
    <t>/admin</t>
  </si>
  <si>
    <t>Accès complet : dashboard, utilisateurs, audit, catalogue, SAV, démo, paramètres.</t>
  </si>
  <si>
    <t>Compte de développement uniquement</t>
  </si>
  <si>
    <t>TECHNICO</t>
  </si>
  <si>
    <t>Marc Dupont</t>
  </si>
  <si>
    <t>Technico@2026!</t>
  </si>
  <si>
    <t>/technico</t>
  </si>
  <si>
    <t>Clients, demandes, devis, factures, commandes, SAV, assistant IA, catalogue autorisé.</t>
  </si>
  <si>
    <t>Ne doit pas accéder à la gestion des utilisateurs ni à l’audit réservé Admin</t>
  </si>
  <si>
    <t>ASSISTANTE</t>
  </si>
  <si>
    <t>Sophie Martin</t>
  </si>
  <si>
    <t>Assistante@2026!</t>
  </si>
  <si>
    <t>/assistante</t>
  </si>
  <si>
    <t>Clients, demandes, devis, factures, documents, SAV et demandes de démo selon permissions.</t>
  </si>
  <si>
    <t>Ne doit pas accéder aux fonctions sensibles réservées Admin</t>
  </si>
  <si>
    <t>CHEF_CHANTIER</t>
  </si>
  <si>
    <t>Julien Bernard</t>
  </si>
  <si>
    <t>ChefChantier@2026!</t>
  </si>
  <si>
    <t>/chef-chantier</t>
  </si>
  <si>
    <t>Uniquement les chantiers, tâches, réceptions, documents et SAV qui lui sont affectés.</t>
  </si>
  <si>
    <t>Tester impérativement l’isolation des données</t>
  </si>
  <si>
    <t>SOUS_TRAITANT</t>
  </si>
  <si>
    <t>Lucas Moreau</t>
  </si>
  <si>
    <t>SousTraitant@2026!</t>
  </si>
  <si>
    <t>/sous-traitant</t>
  </si>
  <si>
    <t>Uniquement ses tâches, chantiers liés et documents autorisés.</t>
  </si>
  <si>
    <t>Ne doit jamais être redirigé vers /fournisseur</t>
  </si>
  <si>
    <t>Attention</t>
  </si>
  <si>
    <t>Ces mots de passe servent uniquement au développement et aux tests. Ne pas pousser ce fichier dans un dépôt public.</t>
  </si>
  <si>
    <t>Registre des anomalies – recette finale</t>
  </si>
  <si>
    <t>Anomalies confirmées pendant la recette manuelle et conservées dans le livrable de fin de stage.</t>
  </si>
  <si>
    <t>Titre</t>
  </si>
  <si>
    <t>Sévérité</t>
  </si>
  <si>
    <t>Gestion des documents chantier absente</t>
  </si>
  <si>
    <t>Aucune fonctionnalité ne permet d’ajouter un document à un chantier. La liste propose uniquement Modifier et Supprimer, et le formulaire chantier ne contient aucun champ ou onglet Documents.</t>
  </si>
  <si>
    <t>L’Admin doit pouvoir ajouter DOC-01 à DOC-03 aux chantiers concernés, puis les consulter et les télécharger.</t>
  </si>
  <si>
    <t>Ouverte</t>
  </si>
  <si>
    <t>Boutons Modifier inactifs</t>
  </si>
  <si>
    <t>Les icônes Modifier des pages Prestations, Compositions, Matériaux et Main-d’œuvre sont visibles, mais aucun formulaire ne s’ouvre et aucune action de mise à jour n’est exécutée.</t>
  </si>
  <si>
    <t>Une modale préremplie doit s’ouvrir et les modifications enregistrées doivent rester visibles après actualisation.</t>
  </si>
  <si>
    <t>Tableau de suivi – recette finale</t>
  </si>
  <si>
    <t>Indicateur</t>
  </si>
  <si>
    <t>Valeur</t>
  </si>
  <si>
    <t>Nombre</t>
  </si>
  <si>
    <t>Total des tests essentiels</t>
  </si>
  <si>
    <t>Tests P0</t>
  </si>
  <si>
    <t>Tests P1</t>
  </si>
  <si>
    <t>Tests terminés</t>
  </si>
  <si>
    <t>Tests restant à exécuter</t>
  </si>
  <si>
    <t>Bloqué</t>
  </si>
  <si>
    <t>Anomalies ouvertes</t>
  </si>
  <si>
    <t>Rôle impliqué</t>
  </si>
  <si>
    <t>Total</t>
  </si>
  <si>
    <t>Réussis</t>
  </si>
  <si>
    <t>Échoués</t>
  </si>
  <si>
    <t>À faire / en cours</t>
  </si>
  <si>
    <t>Progression</t>
  </si>
  <si>
    <t>Tous / 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</si>
</sst>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2"/>
      <color rgb="FF0F172A"/>
      <name val="Carlito"/>
    </font>
    <font>
      <i/>
      <sz val="10"/>
      <color rgb="FF334155"/>
      <name val="Carlito"/>
    </font>
    <font>
      <b/>
      <sz val="10"/>
      <color rgb="FFFFFFFF"/>
      <name val="Carlito"/>
    </font>
    <font>
      <sz val="9"/>
      <name val="Carlito"/>
    </font>
    <font>
      <i/>
      <sz val="11"/>
      <color rgb="FF334155"/>
      <name val="Carlito"/>
    </font>
  </fonts>
  <fills count="9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EFF6FF"/>
      </patternFill>
    </fill>
    <fill>
      <patternFill patternType="solid">
        <fgColor rgb="FFE2E8F0"/>
      </patternFill>
    </fill>
    <fill>
      <patternFill patternType="solid">
        <fgColor rgb="FF111827"/>
      </patternFill>
    </fill>
    <fill>
      <patternFill patternType="solid">
        <fgColor rgb="FF0F172A"/>
      </patternFill>
    </fill>
    <fill>
      <patternFill patternType="solid">
        <fgColor rgb="FFE0ECFF"/>
      </patternFill>
    </fill>
    <fill>
      <patternFill patternType="solid">
        <fgColor rgb="FF1E3A8A"/>
      </patternFill>
    </fill>
  </fills>
  <borders count="10">
    <border>
      <left/>
      <right/>
      <top/>
      <bottom/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/>
      <top style="thin">
        <color rgb="FFE2E8F0"/>
      </top>
      <bottom/>
      <diagonal/>
    </border>
    <border>
      <left/>
      <right/>
      <top style="thin">
        <color rgb="FFE2E8F0"/>
      </top>
      <bottom/>
      <diagonal/>
    </border>
    <border>
      <left/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/>
      <top/>
      <bottom style="thin">
        <color rgb="FFE2E8F0"/>
      </bottom>
      <diagonal/>
    </border>
    <border>
      <left/>
      <right/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vertical="top" wrapText="1"/>
    </xf>
    <xf numFmtId="1" fontId="0" fillId="0" borderId="0" xfId="0" applyNumberFormat="1" applyAlignment="1">
      <alignment vertical="top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5" fillId="5" borderId="0" xfId="0" applyFont="1" applyFill="1" applyAlignment="1">
      <alignment horizontal="center" vertical="center" wrapText="1"/>
    </xf>
    <xf numFmtId="0" fontId="6" fillId="0" borderId="0" xfId="0" applyFont="1" applyAlignment="1">
      <alignment vertical="top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0" fillId="0" borderId="0" xfId="0" applyAlignment="1">
      <alignment vertical="top" wrapText="1"/>
    </xf>
    <xf numFmtId="0" fontId="7" fillId="7" borderId="0" xfId="0" applyFont="1" applyFill="1" applyAlignment="1">
      <alignment horizontal="left" vertical="center"/>
    </xf>
  </cellXfs>
  <cellStyles count="1">
    <cellStyle name="Normal" xfId="0" builtinId="0"/>
  </cellStyles>
  <dxfs count="15">
    <dxf>
      <font>
        <color rgb="FF374151"/>
      </font>
      <fill>
        <patternFill>
          <bgColor rgb="FFE5E7EB"/>
        </patternFill>
      </fill>
    </dxf>
    <dxf>
      <font>
        <b/>
        <color rgb="FF1D4ED8"/>
      </font>
      <fill>
        <patternFill>
          <bgColor rgb="FFDBEAFE"/>
        </patternFill>
      </fill>
    </dxf>
    <dxf>
      <font>
        <color rgb="FF92400E"/>
      </font>
      <fill>
        <patternFill>
          <bgColor rgb="FFFEF3C7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A3412"/>
      </font>
      <fill>
        <patternFill patternType="solid">
          <bgColor rgb="FFFED7AA"/>
        </patternFill>
      </fill>
    </dxf>
    <dxf>
      <font>
        <b/>
        <color rgb="FF991B1B"/>
      </font>
      <fill>
        <patternFill patternType="solid">
          <bgColor rgb="FFFECACA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BE123C"/>
      </font>
      <fill>
        <patternFill>
          <bgColor rgb="FFFFE4E6"/>
        </patternFill>
      </fill>
    </dxf>
    <dxf>
      <font>
        <b/>
        <color rgb="FF374151"/>
      </font>
      <fill>
        <patternFill>
          <bgColor rgb="FFE5E7EB"/>
        </patternFill>
      </fill>
    </dxf>
    <dxf>
      <font>
        <b/>
        <color rgb="FF1D4ED8"/>
      </font>
      <fill>
        <patternFill>
          <bgColor rgb="FFDBEAFE"/>
        </patternFill>
      </fill>
    </dxf>
    <dxf>
      <font>
        <color rgb="FF92400E"/>
      </font>
      <fill>
        <patternFill>
          <bgColor rgb="FFFEF3C7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166534"/>
      </font>
      <fill>
        <patternFill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État de la recette finale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Nombre</c:v>
          </c:tx>
          <c:invertIfNegative val="1"/>
          <c:cat>
            <c:strRef>
              <c:f>Résumé!$D$4:$D$8</c:f>
              <c:strCache>
                <c:ptCount val="5"/>
                <c:pt idx="0">
                  <c:v>À tester</c:v>
                </c:pt>
                <c:pt idx="1">
                  <c:v>En cours</c:v>
                </c:pt>
                <c:pt idx="2">
                  <c:v>Réussi</c:v>
                </c:pt>
                <c:pt idx="3">
                  <c:v>Échoué</c:v>
                </c:pt>
                <c:pt idx="4">
                  <c:v>Bloqué</c:v>
                </c:pt>
              </c:strCache>
            </c:strRef>
          </c:cat>
          <c:val>
            <c:numRef>
              <c:f>Résumé!$E$4:$E$8</c:f>
              <c:numCache>
                <c:formatCode>General</c:formatCode>
                <c:ptCount val="5"/>
                <c:pt idx="0">
                  <c:v>17</c:v>
                </c:pt>
                <c:pt idx="1">
                  <c:v>3</c:v>
                </c:pt>
                <c:pt idx="2">
                  <c:v>40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78-4E62-A047-8FC33557F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5"/>
  <sheetViews>
    <sheetView topLeftCell="F58" workbookViewId="0"/>
  </sheetViews>
  <sheetFormatPr defaultRowHeight="14.25"/>
  <cols>
    <col min="1" max="1" width="14" customWidth="1"/>
    <col min="2" max="2" width="10" customWidth="1"/>
    <col min="3" max="4" width="23" customWidth="1"/>
    <col min="5" max="5" width="30" customWidth="1"/>
    <col min="6" max="6" width="27" customWidth="1"/>
    <col min="7" max="7" width="44" customWidth="1"/>
    <col min="8" max="8" width="42" customWidth="1"/>
    <col min="9" max="9" width="13" customWidth="1"/>
    <col min="10" max="10" width="48" customWidth="1"/>
    <col min="11" max="11" width="17" customWidth="1"/>
    <col min="12" max="12" width="30" customWidth="1"/>
    <col min="13" max="13" width="24" customWidth="1"/>
    <col min="14" max="14" width="34" customWidth="1"/>
  </cols>
  <sheetData>
    <row r="1" spans="1:14" ht="27.9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21.9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 ht="33.950000000000003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</row>
    <row r="4" spans="1:14" ht="36">
      <c r="A4" s="6" t="s">
        <v>16</v>
      </c>
      <c r="B4" s="6" t="s">
        <v>17</v>
      </c>
      <c r="C4" s="6" t="s">
        <v>18</v>
      </c>
      <c r="D4" s="6" t="s">
        <v>19</v>
      </c>
      <c r="E4" s="6" t="s">
        <v>20</v>
      </c>
      <c r="F4" s="6" t="s">
        <v>21</v>
      </c>
      <c r="G4" s="6" t="s">
        <v>22</v>
      </c>
      <c r="H4" s="6" t="s">
        <v>23</v>
      </c>
      <c r="I4" s="6" t="s">
        <v>24</v>
      </c>
      <c r="J4" s="6" t="s">
        <v>25</v>
      </c>
      <c r="K4" s="6"/>
      <c r="L4" s="6"/>
      <c r="M4" s="6"/>
      <c r="N4" s="6"/>
    </row>
    <row r="5" spans="1:14" ht="24">
      <c r="A5" s="6" t="s">
        <v>26</v>
      </c>
      <c r="B5" s="6" t="s">
        <v>17</v>
      </c>
      <c r="C5" s="6" t="s">
        <v>18</v>
      </c>
      <c r="D5" s="6" t="s">
        <v>19</v>
      </c>
      <c r="E5" s="6" t="s">
        <v>27</v>
      </c>
      <c r="F5" s="6" t="s">
        <v>28</v>
      </c>
      <c r="G5" s="6" t="s">
        <v>29</v>
      </c>
      <c r="H5" s="6" t="s">
        <v>30</v>
      </c>
      <c r="I5" s="6" t="s">
        <v>24</v>
      </c>
      <c r="J5" s="6" t="s">
        <v>31</v>
      </c>
      <c r="K5" s="6"/>
      <c r="L5" s="6"/>
      <c r="M5" s="6"/>
      <c r="N5" s="6"/>
    </row>
    <row r="6" spans="1:14" ht="24">
      <c r="A6" s="6" t="s">
        <v>32</v>
      </c>
      <c r="B6" s="6" t="s">
        <v>17</v>
      </c>
      <c r="C6" s="6" t="s">
        <v>18</v>
      </c>
      <c r="D6" s="6" t="s">
        <v>33</v>
      </c>
      <c r="E6" s="6" t="s">
        <v>34</v>
      </c>
      <c r="F6" s="6" t="s">
        <v>35</v>
      </c>
      <c r="G6" s="6" t="s">
        <v>36</v>
      </c>
      <c r="H6" s="6" t="s">
        <v>37</v>
      </c>
      <c r="I6" s="6" t="s">
        <v>24</v>
      </c>
      <c r="J6" s="6" t="s">
        <v>38</v>
      </c>
      <c r="K6" s="6"/>
      <c r="L6" s="6"/>
      <c r="M6" s="6"/>
      <c r="N6" s="6"/>
    </row>
    <row r="7" spans="1:14" ht="36">
      <c r="A7" s="6" t="s">
        <v>39</v>
      </c>
      <c r="B7" s="6" t="s">
        <v>17</v>
      </c>
      <c r="C7" s="6" t="s">
        <v>18</v>
      </c>
      <c r="D7" s="6" t="s">
        <v>40</v>
      </c>
      <c r="E7" s="6" t="s">
        <v>41</v>
      </c>
      <c r="F7" s="6" t="s">
        <v>42</v>
      </c>
      <c r="G7" s="6" t="s">
        <v>43</v>
      </c>
      <c r="H7" s="6" t="s">
        <v>44</v>
      </c>
      <c r="I7" s="6" t="s">
        <v>24</v>
      </c>
      <c r="J7" s="6" t="s">
        <v>45</v>
      </c>
      <c r="K7" s="6"/>
      <c r="L7" s="6"/>
      <c r="M7" s="6"/>
      <c r="N7" s="6"/>
    </row>
    <row r="8" spans="1:14" ht="24">
      <c r="A8" s="6" t="s">
        <v>46</v>
      </c>
      <c r="B8" s="6" t="s">
        <v>17</v>
      </c>
      <c r="C8" s="6" t="s">
        <v>47</v>
      </c>
      <c r="D8" s="6" t="s">
        <v>48</v>
      </c>
      <c r="E8" s="6" t="s">
        <v>49</v>
      </c>
      <c r="F8" s="6" t="s">
        <v>50</v>
      </c>
      <c r="G8" s="6" t="s">
        <v>51</v>
      </c>
      <c r="H8" s="6" t="s">
        <v>52</v>
      </c>
      <c r="I8" s="6" t="s">
        <v>24</v>
      </c>
      <c r="J8" s="6" t="s">
        <v>53</v>
      </c>
      <c r="K8" s="6"/>
      <c r="L8" s="6"/>
      <c r="M8" s="6"/>
      <c r="N8" s="6"/>
    </row>
    <row r="9" spans="1:14" ht="24">
      <c r="A9" s="6" t="s">
        <v>54</v>
      </c>
      <c r="B9" s="6" t="s">
        <v>17</v>
      </c>
      <c r="C9" s="6" t="s">
        <v>47</v>
      </c>
      <c r="D9" s="6" t="s">
        <v>55</v>
      </c>
      <c r="E9" s="6" t="s">
        <v>56</v>
      </c>
      <c r="F9" s="6" t="s">
        <v>57</v>
      </c>
      <c r="G9" s="6" t="s">
        <v>58</v>
      </c>
      <c r="H9" s="6" t="s">
        <v>59</v>
      </c>
      <c r="I9" s="6" t="s">
        <v>24</v>
      </c>
      <c r="J9" s="6" t="s">
        <v>60</v>
      </c>
      <c r="K9" s="6"/>
      <c r="L9" s="6"/>
      <c r="M9" s="6"/>
      <c r="N9" s="6"/>
    </row>
    <row r="10" spans="1:14">
      <c r="A10" s="6" t="s">
        <v>61</v>
      </c>
      <c r="B10" s="6" t="s">
        <v>17</v>
      </c>
      <c r="C10" s="6" t="s">
        <v>47</v>
      </c>
      <c r="D10" s="6" t="s">
        <v>55</v>
      </c>
      <c r="E10" s="6" t="s">
        <v>62</v>
      </c>
      <c r="F10" s="6" t="s">
        <v>63</v>
      </c>
      <c r="G10" s="6" t="s">
        <v>64</v>
      </c>
      <c r="H10" s="6" t="s">
        <v>65</v>
      </c>
      <c r="I10" s="6" t="s">
        <v>24</v>
      </c>
      <c r="J10" s="6" t="s">
        <v>66</v>
      </c>
      <c r="K10" s="6"/>
      <c r="L10" s="6"/>
      <c r="M10" s="6"/>
      <c r="N10" s="6"/>
    </row>
    <row r="11" spans="1:14" ht="24">
      <c r="A11" s="6" t="s">
        <v>67</v>
      </c>
      <c r="B11" s="6" t="s">
        <v>17</v>
      </c>
      <c r="C11" s="6" t="s">
        <v>47</v>
      </c>
      <c r="D11" s="6" t="s">
        <v>68</v>
      </c>
      <c r="E11" s="6" t="s">
        <v>69</v>
      </c>
      <c r="F11" s="6" t="s">
        <v>70</v>
      </c>
      <c r="G11" s="6" t="s">
        <v>71</v>
      </c>
      <c r="H11" s="6" t="s">
        <v>72</v>
      </c>
      <c r="I11" s="6" t="s">
        <v>24</v>
      </c>
      <c r="J11" s="6" t="s">
        <v>73</v>
      </c>
      <c r="K11" s="6"/>
      <c r="L11" s="6"/>
      <c r="M11" s="6"/>
      <c r="N11" s="6"/>
    </row>
    <row r="12" spans="1:14" ht="24">
      <c r="A12" s="6" t="s">
        <v>74</v>
      </c>
      <c r="B12" s="6" t="s">
        <v>17</v>
      </c>
      <c r="C12" s="6" t="s">
        <v>47</v>
      </c>
      <c r="D12" s="6" t="s">
        <v>75</v>
      </c>
      <c r="E12" s="6" t="s">
        <v>76</v>
      </c>
      <c r="F12" s="6" t="s">
        <v>77</v>
      </c>
      <c r="G12" s="6" t="s">
        <v>78</v>
      </c>
      <c r="H12" s="6" t="s">
        <v>79</v>
      </c>
      <c r="I12" s="6" t="s">
        <v>24</v>
      </c>
      <c r="J12" s="6" t="s">
        <v>80</v>
      </c>
      <c r="K12" s="6"/>
      <c r="L12" s="6"/>
      <c r="M12" s="6"/>
      <c r="N12" s="6"/>
    </row>
    <row r="13" spans="1:14" ht="24">
      <c r="A13" s="6" t="s">
        <v>81</v>
      </c>
      <c r="B13" s="6" t="s">
        <v>17</v>
      </c>
      <c r="C13" s="6" t="s">
        <v>47</v>
      </c>
      <c r="D13" s="6" t="s">
        <v>82</v>
      </c>
      <c r="E13" s="6" t="s">
        <v>83</v>
      </c>
      <c r="F13" s="6" t="s">
        <v>84</v>
      </c>
      <c r="G13" s="6" t="s">
        <v>85</v>
      </c>
      <c r="H13" s="6" t="s">
        <v>86</v>
      </c>
      <c r="I13" s="6" t="s">
        <v>24</v>
      </c>
      <c r="J13" s="6" t="s">
        <v>87</v>
      </c>
      <c r="K13" s="6"/>
      <c r="L13" s="6"/>
      <c r="M13" s="6"/>
      <c r="N13" s="6"/>
    </row>
    <row r="14" spans="1:14" ht="36">
      <c r="A14" s="6" t="s">
        <v>88</v>
      </c>
      <c r="B14" s="6" t="s">
        <v>17</v>
      </c>
      <c r="C14" s="6" t="s">
        <v>47</v>
      </c>
      <c r="D14" s="6" t="s">
        <v>89</v>
      </c>
      <c r="E14" s="6" t="s">
        <v>90</v>
      </c>
      <c r="F14" s="6" t="s">
        <v>91</v>
      </c>
      <c r="G14" s="6" t="s">
        <v>92</v>
      </c>
      <c r="H14" s="6" t="s">
        <v>93</v>
      </c>
      <c r="I14" s="6" t="s">
        <v>24</v>
      </c>
      <c r="J14" s="6" t="s">
        <v>94</v>
      </c>
      <c r="K14" s="6"/>
      <c r="L14" s="6"/>
      <c r="M14" s="6"/>
      <c r="N14" s="6"/>
    </row>
    <row r="15" spans="1:14" ht="72">
      <c r="A15" s="6" t="s">
        <v>95</v>
      </c>
      <c r="B15" s="6" t="s">
        <v>96</v>
      </c>
      <c r="C15" s="6" t="s">
        <v>47</v>
      </c>
      <c r="D15" s="6" t="s">
        <v>97</v>
      </c>
      <c r="E15" s="6" t="s">
        <v>98</v>
      </c>
      <c r="F15" s="6" t="s">
        <v>99</v>
      </c>
      <c r="G15" s="6" t="s">
        <v>100</v>
      </c>
      <c r="H15" s="6" t="s">
        <v>101</v>
      </c>
      <c r="I15" s="6" t="s">
        <v>102</v>
      </c>
      <c r="J15" s="6" t="s">
        <v>103</v>
      </c>
      <c r="K15" s="6" t="s">
        <v>104</v>
      </c>
      <c r="L15" s="6" t="s">
        <v>105</v>
      </c>
      <c r="M15" s="6" t="s">
        <v>106</v>
      </c>
      <c r="N15" s="6" t="s">
        <v>107</v>
      </c>
    </row>
    <row r="16" spans="1:14" ht="48">
      <c r="A16" s="6" t="s">
        <v>108</v>
      </c>
      <c r="B16" s="6" t="s">
        <v>17</v>
      </c>
      <c r="C16" s="6" t="s">
        <v>47</v>
      </c>
      <c r="D16" s="6" t="s">
        <v>109</v>
      </c>
      <c r="E16" s="6" t="s">
        <v>69</v>
      </c>
      <c r="F16" s="6" t="s">
        <v>110</v>
      </c>
      <c r="G16" s="6" t="s">
        <v>111</v>
      </c>
      <c r="H16" s="6" t="s">
        <v>112</v>
      </c>
      <c r="I16" s="6" t="s">
        <v>24</v>
      </c>
      <c r="J16" s="6" t="s">
        <v>113</v>
      </c>
      <c r="K16" s="6"/>
      <c r="L16" s="6"/>
      <c r="M16" s="6"/>
      <c r="N16" s="6" t="s">
        <v>114</v>
      </c>
    </row>
    <row r="17" spans="1:14">
      <c r="A17" s="6" t="s">
        <v>115</v>
      </c>
      <c r="B17" s="6" t="s">
        <v>96</v>
      </c>
      <c r="C17" s="6" t="s">
        <v>47</v>
      </c>
      <c r="D17" s="6" t="s">
        <v>116</v>
      </c>
      <c r="E17" s="6" t="s">
        <v>117</v>
      </c>
      <c r="F17" s="6" t="s">
        <v>118</v>
      </c>
      <c r="G17" s="6" t="s">
        <v>119</v>
      </c>
      <c r="H17" s="6" t="s">
        <v>120</v>
      </c>
      <c r="I17" s="6" t="s">
        <v>121</v>
      </c>
      <c r="J17" s="6"/>
      <c r="K17" s="6"/>
      <c r="L17" s="6"/>
      <c r="M17" s="6"/>
      <c r="N17" s="6"/>
    </row>
    <row r="18" spans="1:14" ht="24">
      <c r="A18" s="6" t="s">
        <v>122</v>
      </c>
      <c r="B18" s="6" t="s">
        <v>96</v>
      </c>
      <c r="C18" s="6" t="s">
        <v>47</v>
      </c>
      <c r="D18" s="6" t="s">
        <v>123</v>
      </c>
      <c r="E18" s="6" t="s">
        <v>124</v>
      </c>
      <c r="F18" s="6" t="s">
        <v>125</v>
      </c>
      <c r="G18" s="6" t="s">
        <v>126</v>
      </c>
      <c r="H18" s="6" t="s">
        <v>127</v>
      </c>
      <c r="I18" s="6" t="s">
        <v>102</v>
      </c>
      <c r="J18" s="6" t="s">
        <v>128</v>
      </c>
      <c r="K18" s="6" t="s">
        <v>104</v>
      </c>
      <c r="L18" s="6" t="s">
        <v>129</v>
      </c>
      <c r="M18" s="6" t="s">
        <v>130</v>
      </c>
      <c r="N18" s="6" t="s">
        <v>131</v>
      </c>
    </row>
    <row r="19" spans="1:14" ht="24">
      <c r="A19" s="6" t="s">
        <v>132</v>
      </c>
      <c r="B19" s="6" t="s">
        <v>17</v>
      </c>
      <c r="C19" s="6" t="s">
        <v>47</v>
      </c>
      <c r="D19" s="6" t="s">
        <v>133</v>
      </c>
      <c r="E19" s="6" t="s">
        <v>134</v>
      </c>
      <c r="F19" s="6" t="s">
        <v>135</v>
      </c>
      <c r="G19" s="6" t="s">
        <v>136</v>
      </c>
      <c r="H19" s="6" t="s">
        <v>137</v>
      </c>
      <c r="I19" s="6" t="s">
        <v>24</v>
      </c>
      <c r="J19" s="6" t="s">
        <v>138</v>
      </c>
      <c r="K19" s="6"/>
      <c r="L19" s="6"/>
      <c r="M19" s="6"/>
      <c r="N19" s="6"/>
    </row>
    <row r="20" spans="1:14">
      <c r="A20" s="6" t="s">
        <v>139</v>
      </c>
      <c r="B20" s="6" t="s">
        <v>96</v>
      </c>
      <c r="C20" s="6" t="s">
        <v>47</v>
      </c>
      <c r="D20" s="6" t="s">
        <v>140</v>
      </c>
      <c r="E20" s="6" t="s">
        <v>141</v>
      </c>
      <c r="F20" s="6" t="s">
        <v>142</v>
      </c>
      <c r="G20" s="6" t="s">
        <v>143</v>
      </c>
      <c r="H20" s="6" t="s">
        <v>144</v>
      </c>
      <c r="I20" s="6" t="s">
        <v>121</v>
      </c>
      <c r="J20" s="6"/>
      <c r="K20" s="6"/>
      <c r="L20" s="6"/>
      <c r="M20" s="6"/>
      <c r="N20" s="6"/>
    </row>
    <row r="21" spans="1:14">
      <c r="A21" s="6" t="s">
        <v>145</v>
      </c>
      <c r="B21" s="6" t="s">
        <v>17</v>
      </c>
      <c r="C21" s="6" t="s">
        <v>146</v>
      </c>
      <c r="D21" s="6" t="s">
        <v>40</v>
      </c>
      <c r="E21" s="6" t="s">
        <v>147</v>
      </c>
      <c r="F21" s="6" t="s">
        <v>148</v>
      </c>
      <c r="G21" s="6" t="s">
        <v>149</v>
      </c>
      <c r="H21" s="6" t="s">
        <v>150</v>
      </c>
      <c r="I21" s="6" t="s">
        <v>24</v>
      </c>
      <c r="J21" s="6" t="s">
        <v>151</v>
      </c>
      <c r="K21" s="6"/>
      <c r="L21" s="6"/>
      <c r="M21" s="6"/>
      <c r="N21" s="6"/>
    </row>
    <row r="22" spans="1:14">
      <c r="A22" s="6" t="s">
        <v>152</v>
      </c>
      <c r="B22" s="6" t="s">
        <v>17</v>
      </c>
      <c r="C22" s="6" t="s">
        <v>146</v>
      </c>
      <c r="D22" s="6" t="s">
        <v>68</v>
      </c>
      <c r="E22" s="6" t="s">
        <v>147</v>
      </c>
      <c r="F22" s="6" t="s">
        <v>153</v>
      </c>
      <c r="G22" s="6" t="s">
        <v>154</v>
      </c>
      <c r="H22" s="6" t="s">
        <v>155</v>
      </c>
      <c r="I22" s="6" t="s">
        <v>121</v>
      </c>
      <c r="J22" s="6"/>
      <c r="K22" s="6"/>
      <c r="L22" s="6"/>
      <c r="M22" s="6"/>
      <c r="N22" s="6"/>
    </row>
    <row r="23" spans="1:14">
      <c r="A23" s="6" t="s">
        <v>156</v>
      </c>
      <c r="B23" s="6" t="s">
        <v>17</v>
      </c>
      <c r="C23" s="6" t="s">
        <v>146</v>
      </c>
      <c r="D23" s="6" t="s">
        <v>157</v>
      </c>
      <c r="E23" s="6" t="s">
        <v>158</v>
      </c>
      <c r="F23" s="6" t="s">
        <v>159</v>
      </c>
      <c r="G23" s="6" t="s">
        <v>160</v>
      </c>
      <c r="H23" s="6" t="s">
        <v>161</v>
      </c>
      <c r="I23" s="6" t="s">
        <v>121</v>
      </c>
      <c r="J23" s="6"/>
      <c r="K23" s="6"/>
      <c r="L23" s="6"/>
      <c r="M23" s="6"/>
      <c r="N23" s="6"/>
    </row>
    <row r="24" spans="1:14">
      <c r="A24" s="6" t="s">
        <v>162</v>
      </c>
      <c r="B24" s="6" t="s">
        <v>17</v>
      </c>
      <c r="C24" s="6" t="s">
        <v>146</v>
      </c>
      <c r="D24" s="6" t="s">
        <v>163</v>
      </c>
      <c r="E24" s="6" t="s">
        <v>158</v>
      </c>
      <c r="F24" s="6" t="s">
        <v>164</v>
      </c>
      <c r="G24" s="6" t="s">
        <v>165</v>
      </c>
      <c r="H24" s="6" t="s">
        <v>166</v>
      </c>
      <c r="I24" s="6" t="s">
        <v>121</v>
      </c>
      <c r="J24" s="6"/>
      <c r="K24" s="6"/>
      <c r="L24" s="6"/>
      <c r="M24" s="6"/>
      <c r="N24" s="6"/>
    </row>
    <row r="25" spans="1:14">
      <c r="A25" s="6" t="s">
        <v>167</v>
      </c>
      <c r="B25" s="6" t="s">
        <v>17</v>
      </c>
      <c r="C25" s="6" t="s">
        <v>146</v>
      </c>
      <c r="D25" s="6" t="s">
        <v>168</v>
      </c>
      <c r="E25" s="6" t="s">
        <v>169</v>
      </c>
      <c r="F25" s="6" t="s">
        <v>169</v>
      </c>
      <c r="G25" s="6" t="s">
        <v>170</v>
      </c>
      <c r="H25" s="6" t="s">
        <v>171</v>
      </c>
      <c r="I25" s="6" t="s">
        <v>121</v>
      </c>
      <c r="J25" s="6"/>
      <c r="K25" s="6"/>
      <c r="L25" s="6"/>
      <c r="M25" s="6"/>
      <c r="N25" s="6"/>
    </row>
    <row r="26" spans="1:14" ht="24">
      <c r="A26" s="6" t="s">
        <v>172</v>
      </c>
      <c r="B26" s="6" t="s">
        <v>17</v>
      </c>
      <c r="C26" s="6" t="s">
        <v>146</v>
      </c>
      <c r="D26" s="6" t="s">
        <v>173</v>
      </c>
      <c r="E26" s="6" t="s">
        <v>147</v>
      </c>
      <c r="F26" s="6" t="s">
        <v>174</v>
      </c>
      <c r="G26" s="6" t="s">
        <v>175</v>
      </c>
      <c r="H26" s="6" t="s">
        <v>176</v>
      </c>
      <c r="I26" s="6" t="s">
        <v>24</v>
      </c>
      <c r="J26" s="6" t="s">
        <v>177</v>
      </c>
      <c r="K26" s="6"/>
      <c r="L26" s="6"/>
      <c r="M26" s="6"/>
      <c r="N26" s="6"/>
    </row>
    <row r="27" spans="1:14">
      <c r="A27" s="6" t="s">
        <v>178</v>
      </c>
      <c r="B27" s="6" t="s">
        <v>17</v>
      </c>
      <c r="C27" s="6" t="s">
        <v>179</v>
      </c>
      <c r="D27" s="6" t="s">
        <v>40</v>
      </c>
      <c r="E27" s="6" t="s">
        <v>180</v>
      </c>
      <c r="F27" s="6" t="s">
        <v>181</v>
      </c>
      <c r="G27" s="6" t="s">
        <v>149</v>
      </c>
      <c r="H27" s="6" t="s">
        <v>182</v>
      </c>
      <c r="I27" s="6" t="s">
        <v>24</v>
      </c>
      <c r="J27" s="6" t="s">
        <v>183</v>
      </c>
      <c r="K27" s="6"/>
      <c r="L27" s="6"/>
      <c r="M27" s="6"/>
      <c r="N27" s="6"/>
    </row>
    <row r="28" spans="1:14">
      <c r="A28" s="6" t="s">
        <v>184</v>
      </c>
      <c r="B28" s="6" t="s">
        <v>17</v>
      </c>
      <c r="C28" s="6" t="s">
        <v>179</v>
      </c>
      <c r="D28" s="6" t="s">
        <v>68</v>
      </c>
      <c r="E28" s="6" t="s">
        <v>69</v>
      </c>
      <c r="F28" s="6" t="s">
        <v>70</v>
      </c>
      <c r="G28" s="6" t="s">
        <v>185</v>
      </c>
      <c r="H28" s="6" t="s">
        <v>186</v>
      </c>
      <c r="I28" s="6" t="s">
        <v>121</v>
      </c>
      <c r="J28" s="6"/>
      <c r="K28" s="6"/>
      <c r="L28" s="6"/>
      <c r="M28" s="6"/>
      <c r="N28" s="6"/>
    </row>
    <row r="29" spans="1:14">
      <c r="A29" s="6" t="s">
        <v>187</v>
      </c>
      <c r="B29" s="6" t="s">
        <v>17</v>
      </c>
      <c r="C29" s="6" t="s">
        <v>179</v>
      </c>
      <c r="D29" s="6" t="s">
        <v>75</v>
      </c>
      <c r="E29" s="6" t="s">
        <v>76</v>
      </c>
      <c r="F29" s="6" t="s">
        <v>77</v>
      </c>
      <c r="G29" s="6" t="s">
        <v>188</v>
      </c>
      <c r="H29" s="6" t="s">
        <v>189</v>
      </c>
      <c r="I29" s="6" t="s">
        <v>121</v>
      </c>
      <c r="J29" s="6"/>
      <c r="K29" s="6"/>
      <c r="L29" s="6"/>
      <c r="M29" s="6"/>
      <c r="N29" s="6"/>
    </row>
    <row r="30" spans="1:14">
      <c r="A30" s="6" t="s">
        <v>190</v>
      </c>
      <c r="B30" s="6" t="s">
        <v>17</v>
      </c>
      <c r="C30" s="6" t="s">
        <v>179</v>
      </c>
      <c r="D30" s="6" t="s">
        <v>75</v>
      </c>
      <c r="E30" s="6" t="s">
        <v>191</v>
      </c>
      <c r="F30" s="6" t="s">
        <v>77</v>
      </c>
      <c r="G30" s="6" t="s">
        <v>192</v>
      </c>
      <c r="H30" s="6" t="s">
        <v>193</v>
      </c>
      <c r="I30" s="6" t="s">
        <v>121</v>
      </c>
      <c r="J30" s="6"/>
      <c r="K30" s="6"/>
      <c r="L30" s="6"/>
      <c r="M30" s="6"/>
      <c r="N30" s="6"/>
    </row>
    <row r="31" spans="1:14">
      <c r="A31" s="6" t="s">
        <v>194</v>
      </c>
      <c r="B31" s="6" t="s">
        <v>17</v>
      </c>
      <c r="C31" s="6" t="s">
        <v>179</v>
      </c>
      <c r="D31" s="6" t="s">
        <v>195</v>
      </c>
      <c r="E31" s="6" t="s">
        <v>196</v>
      </c>
      <c r="F31" s="6" t="s">
        <v>197</v>
      </c>
      <c r="G31" s="6" t="s">
        <v>198</v>
      </c>
      <c r="H31" s="6" t="s">
        <v>199</v>
      </c>
      <c r="I31" s="6" t="s">
        <v>121</v>
      </c>
      <c r="J31" s="6"/>
      <c r="K31" s="6"/>
      <c r="L31" s="6"/>
      <c r="M31" s="6"/>
      <c r="N31" s="6"/>
    </row>
    <row r="32" spans="1:14">
      <c r="A32" s="6" t="s">
        <v>200</v>
      </c>
      <c r="B32" s="6" t="s">
        <v>17</v>
      </c>
      <c r="C32" s="6" t="s">
        <v>179</v>
      </c>
      <c r="D32" s="6" t="s">
        <v>157</v>
      </c>
      <c r="E32" s="6" t="s">
        <v>201</v>
      </c>
      <c r="F32" s="6" t="s">
        <v>159</v>
      </c>
      <c r="G32" s="6" t="s">
        <v>202</v>
      </c>
      <c r="H32" s="6" t="s">
        <v>203</v>
      </c>
      <c r="I32" s="6" t="s">
        <v>121</v>
      </c>
      <c r="J32" s="6"/>
      <c r="K32" s="6"/>
      <c r="L32" s="6"/>
      <c r="M32" s="6"/>
      <c r="N32" s="6"/>
    </row>
    <row r="33" spans="1:14">
      <c r="A33" s="6" t="s">
        <v>204</v>
      </c>
      <c r="B33" s="6" t="s">
        <v>17</v>
      </c>
      <c r="C33" s="6" t="s">
        <v>179</v>
      </c>
      <c r="D33" s="6" t="s">
        <v>157</v>
      </c>
      <c r="E33" s="6" t="s">
        <v>205</v>
      </c>
      <c r="F33" s="6" t="s">
        <v>159</v>
      </c>
      <c r="G33" s="6" t="s">
        <v>206</v>
      </c>
      <c r="H33" s="6" t="s">
        <v>207</v>
      </c>
      <c r="I33" s="6" t="s">
        <v>121</v>
      </c>
      <c r="J33" s="6"/>
      <c r="K33" s="6"/>
      <c r="L33" s="6"/>
      <c r="M33" s="6"/>
      <c r="N33" s="6"/>
    </row>
    <row r="34" spans="1:14">
      <c r="A34" s="6" t="s">
        <v>208</v>
      </c>
      <c r="B34" s="6" t="s">
        <v>17</v>
      </c>
      <c r="C34" s="6" t="s">
        <v>179</v>
      </c>
      <c r="D34" s="6" t="s">
        <v>209</v>
      </c>
      <c r="E34" s="6" t="s">
        <v>210</v>
      </c>
      <c r="F34" s="6" t="s">
        <v>211</v>
      </c>
      <c r="G34" s="6" t="s">
        <v>212</v>
      </c>
      <c r="H34" s="6" t="s">
        <v>213</v>
      </c>
      <c r="I34" s="6" t="s">
        <v>121</v>
      </c>
      <c r="J34" s="6"/>
      <c r="K34" s="6"/>
      <c r="L34" s="6"/>
      <c r="M34" s="6"/>
      <c r="N34" s="6"/>
    </row>
    <row r="35" spans="1:14" ht="24">
      <c r="A35" s="6" t="s">
        <v>214</v>
      </c>
      <c r="B35" s="6" t="s">
        <v>96</v>
      </c>
      <c r="C35" s="6" t="s">
        <v>179</v>
      </c>
      <c r="D35" s="6" t="s">
        <v>215</v>
      </c>
      <c r="E35" s="6" t="s">
        <v>216</v>
      </c>
      <c r="F35" s="6" t="s">
        <v>217</v>
      </c>
      <c r="G35" s="6" t="s">
        <v>218</v>
      </c>
      <c r="H35" s="6" t="s">
        <v>219</v>
      </c>
      <c r="I35" s="6" t="s">
        <v>121</v>
      </c>
      <c r="J35" s="6"/>
      <c r="K35" s="6"/>
      <c r="L35" s="6"/>
      <c r="M35" s="6"/>
      <c r="N35" s="6"/>
    </row>
    <row r="36" spans="1:14" ht="24">
      <c r="A36" s="6" t="s">
        <v>220</v>
      </c>
      <c r="B36" s="6" t="s">
        <v>17</v>
      </c>
      <c r="C36" s="6" t="s">
        <v>179</v>
      </c>
      <c r="D36" s="6" t="s">
        <v>173</v>
      </c>
      <c r="E36" s="6" t="s">
        <v>180</v>
      </c>
      <c r="F36" s="6" t="s">
        <v>221</v>
      </c>
      <c r="G36" s="6" t="s">
        <v>222</v>
      </c>
      <c r="H36" s="6" t="s">
        <v>223</v>
      </c>
      <c r="I36" s="6" t="s">
        <v>24</v>
      </c>
      <c r="J36" s="6" t="s">
        <v>224</v>
      </c>
      <c r="K36" s="6"/>
      <c r="L36" s="6"/>
      <c r="M36" s="6"/>
      <c r="N36" s="6"/>
    </row>
    <row r="37" spans="1:14" ht="24">
      <c r="A37" s="6" t="s">
        <v>225</v>
      </c>
      <c r="B37" s="6" t="s">
        <v>17</v>
      </c>
      <c r="C37" s="6" t="s">
        <v>226</v>
      </c>
      <c r="D37" s="6" t="s">
        <v>40</v>
      </c>
      <c r="E37" s="6" t="s">
        <v>227</v>
      </c>
      <c r="F37" s="6" t="s">
        <v>228</v>
      </c>
      <c r="G37" s="6" t="s">
        <v>149</v>
      </c>
      <c r="H37" s="6" t="s">
        <v>229</v>
      </c>
      <c r="I37" s="6" t="s">
        <v>24</v>
      </c>
      <c r="J37" s="6" t="s">
        <v>230</v>
      </c>
      <c r="K37" s="6"/>
      <c r="L37" s="6"/>
      <c r="M37" s="6"/>
      <c r="N37" s="6"/>
    </row>
    <row r="38" spans="1:14" ht="24">
      <c r="A38" s="6" t="s">
        <v>231</v>
      </c>
      <c r="B38" s="6" t="s">
        <v>17</v>
      </c>
      <c r="C38" s="6" t="s">
        <v>226</v>
      </c>
      <c r="D38" s="6" t="s">
        <v>48</v>
      </c>
      <c r="E38" s="6" t="s">
        <v>232</v>
      </c>
      <c r="F38" s="6" t="s">
        <v>84</v>
      </c>
      <c r="G38" s="6" t="s">
        <v>233</v>
      </c>
      <c r="H38" s="6" t="s">
        <v>234</v>
      </c>
      <c r="I38" s="6" t="s">
        <v>24</v>
      </c>
      <c r="J38" s="6" t="s">
        <v>235</v>
      </c>
      <c r="K38" s="6"/>
      <c r="L38" s="6"/>
      <c r="M38" s="6"/>
      <c r="N38" s="6"/>
    </row>
    <row r="39" spans="1:14" ht="24">
      <c r="A39" s="6" t="s">
        <v>236</v>
      </c>
      <c r="B39" s="6" t="s">
        <v>17</v>
      </c>
      <c r="C39" s="6" t="s">
        <v>226</v>
      </c>
      <c r="D39" s="6" t="s">
        <v>237</v>
      </c>
      <c r="E39" s="6"/>
      <c r="F39" s="6"/>
      <c r="G39" s="6" t="s">
        <v>238</v>
      </c>
      <c r="H39" s="6" t="s">
        <v>239</v>
      </c>
      <c r="I39" s="6" t="s">
        <v>24</v>
      </c>
      <c r="J39" s="6" t="s">
        <v>240</v>
      </c>
      <c r="K39" s="6"/>
      <c r="L39" s="6"/>
      <c r="M39" s="6"/>
      <c r="N39" s="6"/>
    </row>
    <row r="40" spans="1:14" ht="24">
      <c r="A40" s="6" t="s">
        <v>241</v>
      </c>
      <c r="B40" s="6" t="s">
        <v>17</v>
      </c>
      <c r="C40" s="6" t="s">
        <v>226</v>
      </c>
      <c r="D40" s="6" t="s">
        <v>242</v>
      </c>
      <c r="E40" s="6" t="s">
        <v>243</v>
      </c>
      <c r="F40" s="6" t="s">
        <v>244</v>
      </c>
      <c r="G40" s="6" t="s">
        <v>245</v>
      </c>
      <c r="H40" s="6" t="s">
        <v>246</v>
      </c>
      <c r="I40" s="6" t="s">
        <v>24</v>
      </c>
      <c r="J40" s="6" t="s">
        <v>247</v>
      </c>
      <c r="K40" s="6"/>
      <c r="L40" s="6"/>
      <c r="M40" s="6"/>
      <c r="N40" s="6"/>
    </row>
    <row r="41" spans="1:14" ht="24">
      <c r="A41" s="6" t="s">
        <v>248</v>
      </c>
      <c r="B41" s="6" t="s">
        <v>17</v>
      </c>
      <c r="C41" s="6" t="s">
        <v>226</v>
      </c>
      <c r="D41" s="6" t="s">
        <v>242</v>
      </c>
      <c r="E41" s="6" t="s">
        <v>249</v>
      </c>
      <c r="F41" s="6" t="s">
        <v>244</v>
      </c>
      <c r="G41" s="6" t="s">
        <v>250</v>
      </c>
      <c r="H41" s="6" t="s">
        <v>251</v>
      </c>
      <c r="I41" s="6" t="s">
        <v>24</v>
      </c>
      <c r="J41" s="6" t="s">
        <v>252</v>
      </c>
      <c r="K41" s="6"/>
      <c r="L41" s="6"/>
      <c r="M41" s="6"/>
      <c r="N41" s="6"/>
    </row>
    <row r="42" spans="1:14" ht="24">
      <c r="A42" s="6" t="s">
        <v>253</v>
      </c>
      <c r="B42" s="6" t="s">
        <v>17</v>
      </c>
      <c r="C42" s="6" t="s">
        <v>226</v>
      </c>
      <c r="D42" s="6" t="s">
        <v>173</v>
      </c>
      <c r="E42" s="6" t="s">
        <v>227</v>
      </c>
      <c r="F42" s="6" t="s">
        <v>254</v>
      </c>
      <c r="G42" s="6" t="s">
        <v>255</v>
      </c>
      <c r="H42" s="6" t="s">
        <v>256</v>
      </c>
      <c r="I42" s="6" t="s">
        <v>24</v>
      </c>
      <c r="J42" s="6" t="s">
        <v>257</v>
      </c>
      <c r="K42" s="6"/>
      <c r="L42" s="6"/>
      <c r="M42" s="6"/>
      <c r="N42" s="6"/>
    </row>
    <row r="43" spans="1:14" ht="24">
      <c r="A43" s="6" t="s">
        <v>258</v>
      </c>
      <c r="B43" s="6" t="s">
        <v>17</v>
      </c>
      <c r="C43" s="6" t="s">
        <v>259</v>
      </c>
      <c r="D43" s="6" t="s">
        <v>40</v>
      </c>
      <c r="E43" s="6" t="s">
        <v>260</v>
      </c>
      <c r="F43" s="6" t="s">
        <v>261</v>
      </c>
      <c r="G43" s="6" t="s">
        <v>149</v>
      </c>
      <c r="H43" s="6" t="s">
        <v>262</v>
      </c>
      <c r="I43" s="6" t="s">
        <v>24</v>
      </c>
      <c r="J43" s="6" t="s">
        <v>263</v>
      </c>
      <c r="K43" s="6"/>
      <c r="L43" s="6"/>
      <c r="M43" s="6"/>
      <c r="N43" s="6"/>
    </row>
    <row r="44" spans="1:14" ht="24">
      <c r="A44" s="6" t="s">
        <v>264</v>
      </c>
      <c r="B44" s="6" t="s">
        <v>17</v>
      </c>
      <c r="C44" s="6" t="s">
        <v>259</v>
      </c>
      <c r="D44" s="6" t="s">
        <v>48</v>
      </c>
      <c r="E44" s="6" t="s">
        <v>265</v>
      </c>
      <c r="F44" s="6" t="s">
        <v>266</v>
      </c>
      <c r="G44" s="6" t="s">
        <v>233</v>
      </c>
      <c r="H44" s="6" t="s">
        <v>267</v>
      </c>
      <c r="I44" s="6" t="s">
        <v>24</v>
      </c>
      <c r="J44" s="6" t="s">
        <v>268</v>
      </c>
      <c r="K44" s="6"/>
      <c r="L44" s="6"/>
      <c r="M44" s="6"/>
      <c r="N44" s="6"/>
    </row>
    <row r="45" spans="1:14" ht="24">
      <c r="A45" s="6" t="s">
        <v>269</v>
      </c>
      <c r="B45" s="6" t="s">
        <v>17</v>
      </c>
      <c r="C45" s="6" t="s">
        <v>259</v>
      </c>
      <c r="D45" s="6" t="s">
        <v>82</v>
      </c>
      <c r="E45" s="6" t="s">
        <v>270</v>
      </c>
      <c r="F45" s="6" t="s">
        <v>84</v>
      </c>
      <c r="G45" s="6" t="s">
        <v>238</v>
      </c>
      <c r="H45" s="6" t="s">
        <v>271</v>
      </c>
      <c r="I45" s="6" t="s">
        <v>24</v>
      </c>
      <c r="J45" s="6" t="s">
        <v>272</v>
      </c>
      <c r="K45" s="6"/>
      <c r="L45" s="6"/>
      <c r="M45" s="6"/>
      <c r="N45" s="6"/>
    </row>
    <row r="46" spans="1:14" ht="24">
      <c r="A46" s="6" t="s">
        <v>273</v>
      </c>
      <c r="B46" s="6" t="s">
        <v>17</v>
      </c>
      <c r="C46" s="6" t="s">
        <v>259</v>
      </c>
      <c r="D46" s="6" t="s">
        <v>237</v>
      </c>
      <c r="E46" s="6" t="s">
        <v>274</v>
      </c>
      <c r="F46" s="6" t="s">
        <v>275</v>
      </c>
      <c r="G46" s="6" t="s">
        <v>276</v>
      </c>
      <c r="H46" s="6" t="s">
        <v>277</v>
      </c>
      <c r="I46" s="6" t="s">
        <v>24</v>
      </c>
      <c r="J46" s="6" t="s">
        <v>278</v>
      </c>
      <c r="K46" s="6"/>
      <c r="L46" s="6"/>
      <c r="M46" s="6"/>
      <c r="N46" s="6"/>
    </row>
    <row r="47" spans="1:14" ht="24">
      <c r="A47" s="6" t="s">
        <v>279</v>
      </c>
      <c r="B47" s="6" t="s">
        <v>17</v>
      </c>
      <c r="C47" s="6" t="s">
        <v>259</v>
      </c>
      <c r="D47" s="6" t="s">
        <v>242</v>
      </c>
      <c r="E47" s="6" t="s">
        <v>265</v>
      </c>
      <c r="F47" s="6" t="s">
        <v>266</v>
      </c>
      <c r="G47" s="6" t="s">
        <v>280</v>
      </c>
      <c r="H47" s="6" t="s">
        <v>281</v>
      </c>
      <c r="I47" s="6" t="s">
        <v>24</v>
      </c>
      <c r="J47" s="6" t="s">
        <v>282</v>
      </c>
      <c r="K47" s="6"/>
      <c r="L47" s="6"/>
      <c r="M47" s="6"/>
      <c r="N47" s="6"/>
    </row>
    <row r="48" spans="1:14" ht="24">
      <c r="A48" s="6" t="s">
        <v>283</v>
      </c>
      <c r="B48" s="6" t="s">
        <v>17</v>
      </c>
      <c r="C48" s="6" t="s">
        <v>259</v>
      </c>
      <c r="D48" s="6" t="s">
        <v>242</v>
      </c>
      <c r="E48" s="6" t="s">
        <v>284</v>
      </c>
      <c r="F48" s="6" t="s">
        <v>285</v>
      </c>
      <c r="G48" s="6" t="s">
        <v>286</v>
      </c>
      <c r="H48" s="6" t="s">
        <v>287</v>
      </c>
      <c r="I48" s="6" t="s">
        <v>24</v>
      </c>
      <c r="J48" s="6" t="s">
        <v>288</v>
      </c>
      <c r="K48" s="6"/>
      <c r="L48" s="6"/>
      <c r="M48" s="6"/>
      <c r="N48" s="6"/>
    </row>
    <row r="49" spans="1:14" ht="24">
      <c r="A49" s="6" t="s">
        <v>289</v>
      </c>
      <c r="B49" s="6" t="s">
        <v>17</v>
      </c>
      <c r="C49" s="6" t="s">
        <v>259</v>
      </c>
      <c r="D49" s="6" t="s">
        <v>290</v>
      </c>
      <c r="E49" s="6" t="s">
        <v>291</v>
      </c>
      <c r="F49" s="6" t="s">
        <v>244</v>
      </c>
      <c r="G49" s="6" t="s">
        <v>292</v>
      </c>
      <c r="H49" s="6" t="s">
        <v>293</v>
      </c>
      <c r="I49" s="6" t="s">
        <v>24</v>
      </c>
      <c r="J49" s="6" t="s">
        <v>294</v>
      </c>
      <c r="K49" s="6"/>
      <c r="L49" s="6"/>
      <c r="M49" s="6"/>
      <c r="N49" s="6"/>
    </row>
    <row r="50" spans="1:14" ht="24">
      <c r="A50" s="6" t="s">
        <v>295</v>
      </c>
      <c r="B50" s="6" t="s">
        <v>17</v>
      </c>
      <c r="C50" s="6" t="s">
        <v>296</v>
      </c>
      <c r="D50" s="6" t="s">
        <v>168</v>
      </c>
      <c r="E50" s="6" t="s">
        <v>297</v>
      </c>
      <c r="F50" s="6" t="s">
        <v>298</v>
      </c>
      <c r="G50" s="6" t="s">
        <v>299</v>
      </c>
      <c r="H50" s="6" t="s">
        <v>300</v>
      </c>
      <c r="I50" s="6" t="s">
        <v>24</v>
      </c>
      <c r="J50" s="6" t="s">
        <v>301</v>
      </c>
      <c r="K50" s="6"/>
      <c r="L50" s="6"/>
      <c r="M50" s="6"/>
      <c r="N50" s="6"/>
    </row>
    <row r="51" spans="1:14" ht="36">
      <c r="A51" s="6" t="s">
        <v>302</v>
      </c>
      <c r="B51" s="6" t="s">
        <v>17</v>
      </c>
      <c r="C51" s="6" t="s">
        <v>296</v>
      </c>
      <c r="D51" s="6" t="s">
        <v>168</v>
      </c>
      <c r="E51" s="6" t="s">
        <v>303</v>
      </c>
      <c r="F51" s="6" t="s">
        <v>298</v>
      </c>
      <c r="G51" s="6" t="s">
        <v>304</v>
      </c>
      <c r="H51" s="6" t="s">
        <v>305</v>
      </c>
      <c r="I51" s="6" t="s">
        <v>24</v>
      </c>
      <c r="J51" s="6" t="s">
        <v>306</v>
      </c>
      <c r="K51" s="6"/>
      <c r="L51" s="6"/>
      <c r="M51" s="6"/>
      <c r="N51" s="6"/>
    </row>
    <row r="52" spans="1:14" ht="24">
      <c r="A52" s="6" t="s">
        <v>307</v>
      </c>
      <c r="B52" s="6" t="s">
        <v>17</v>
      </c>
      <c r="C52" s="6" t="s">
        <v>179</v>
      </c>
      <c r="D52" s="6" t="s">
        <v>168</v>
      </c>
      <c r="E52" s="6" t="s">
        <v>308</v>
      </c>
      <c r="F52" s="6" t="s">
        <v>298</v>
      </c>
      <c r="G52" s="6" t="s">
        <v>309</v>
      </c>
      <c r="H52" s="6" t="s">
        <v>310</v>
      </c>
      <c r="I52" s="6" t="s">
        <v>24</v>
      </c>
      <c r="J52" s="6" t="s">
        <v>311</v>
      </c>
      <c r="K52" s="6"/>
      <c r="L52" s="6"/>
      <c r="M52" s="6"/>
      <c r="N52" s="6"/>
    </row>
    <row r="53" spans="1:14" ht="24">
      <c r="A53" s="6" t="s">
        <v>312</v>
      </c>
      <c r="B53" s="6" t="s">
        <v>17</v>
      </c>
      <c r="C53" s="6" t="s">
        <v>179</v>
      </c>
      <c r="D53" s="6" t="s">
        <v>168</v>
      </c>
      <c r="E53" s="6" t="s">
        <v>313</v>
      </c>
      <c r="F53" s="6" t="s">
        <v>298</v>
      </c>
      <c r="G53" s="6" t="s">
        <v>314</v>
      </c>
      <c r="H53" s="6" t="s">
        <v>315</v>
      </c>
      <c r="I53" s="6" t="s">
        <v>24</v>
      </c>
      <c r="J53" s="6" t="s">
        <v>316</v>
      </c>
      <c r="K53" s="6"/>
      <c r="L53" s="6"/>
      <c r="M53" s="6"/>
      <c r="N53" s="6"/>
    </row>
    <row r="54" spans="1:14" ht="36">
      <c r="A54" s="6" t="s">
        <v>317</v>
      </c>
      <c r="B54" s="6" t="s">
        <v>17</v>
      </c>
      <c r="C54" s="6" t="s">
        <v>47</v>
      </c>
      <c r="D54" s="6" t="s">
        <v>168</v>
      </c>
      <c r="E54" s="6" t="s">
        <v>318</v>
      </c>
      <c r="F54" s="6" t="s">
        <v>298</v>
      </c>
      <c r="G54" s="6" t="s">
        <v>319</v>
      </c>
      <c r="H54" s="6" t="s">
        <v>320</v>
      </c>
      <c r="I54" s="6" t="s">
        <v>24</v>
      </c>
      <c r="J54" s="6" t="s">
        <v>321</v>
      </c>
      <c r="K54" s="6"/>
      <c r="L54" s="6"/>
      <c r="M54" s="6"/>
      <c r="N54" s="6"/>
    </row>
    <row r="55" spans="1:14">
      <c r="A55" s="6" t="s">
        <v>322</v>
      </c>
      <c r="B55" s="6" t="s">
        <v>17</v>
      </c>
      <c r="C55" s="6" t="s">
        <v>323</v>
      </c>
      <c r="D55" s="6" t="s">
        <v>324</v>
      </c>
      <c r="E55" s="6" t="s">
        <v>325</v>
      </c>
      <c r="F55" s="6" t="s">
        <v>326</v>
      </c>
      <c r="G55" s="6" t="s">
        <v>327</v>
      </c>
      <c r="H55" s="6" t="s">
        <v>328</v>
      </c>
      <c r="I55" s="6" t="s">
        <v>121</v>
      </c>
      <c r="J55" s="6"/>
      <c r="K55" s="6"/>
      <c r="L55" s="6"/>
      <c r="M55" s="6"/>
      <c r="N55" s="6"/>
    </row>
    <row r="56" spans="1:14" ht="24">
      <c r="A56" s="6" t="s">
        <v>329</v>
      </c>
      <c r="B56" s="6" t="s">
        <v>17</v>
      </c>
      <c r="C56" s="6" t="s">
        <v>18</v>
      </c>
      <c r="D56" s="6" t="s">
        <v>330</v>
      </c>
      <c r="E56" s="6" t="s">
        <v>331</v>
      </c>
      <c r="F56" s="6" t="s">
        <v>332</v>
      </c>
      <c r="G56" s="6" t="s">
        <v>333</v>
      </c>
      <c r="H56" s="6" t="s">
        <v>334</v>
      </c>
      <c r="I56" s="6" t="s">
        <v>24</v>
      </c>
      <c r="J56" s="6" t="s">
        <v>335</v>
      </c>
      <c r="K56" s="6"/>
      <c r="L56" s="6"/>
      <c r="M56" s="6"/>
      <c r="N56" s="6"/>
    </row>
    <row r="57" spans="1:14" ht="24">
      <c r="A57" s="6" t="s">
        <v>336</v>
      </c>
      <c r="B57" s="6" t="s">
        <v>96</v>
      </c>
      <c r="C57" s="6" t="s">
        <v>18</v>
      </c>
      <c r="D57" s="6" t="s">
        <v>337</v>
      </c>
      <c r="E57" s="6" t="s">
        <v>338</v>
      </c>
      <c r="F57" s="6" t="s">
        <v>339</v>
      </c>
      <c r="G57" s="6" t="s">
        <v>340</v>
      </c>
      <c r="H57" s="6" t="s">
        <v>341</v>
      </c>
      <c r="I57" s="6" t="s">
        <v>24</v>
      </c>
      <c r="J57" s="6" t="s">
        <v>342</v>
      </c>
      <c r="K57" s="6"/>
      <c r="L57" s="6"/>
      <c r="M57" s="6"/>
      <c r="N57" s="6"/>
    </row>
    <row r="58" spans="1:14" ht="36">
      <c r="A58" s="6" t="s">
        <v>343</v>
      </c>
      <c r="B58" s="6" t="s">
        <v>17</v>
      </c>
      <c r="C58" s="6" t="s">
        <v>344</v>
      </c>
      <c r="D58" s="6" t="s">
        <v>324</v>
      </c>
      <c r="E58" s="6" t="s">
        <v>345</v>
      </c>
      <c r="F58" s="6" t="s">
        <v>326</v>
      </c>
      <c r="G58" s="6" t="s">
        <v>346</v>
      </c>
      <c r="H58" s="6" t="s">
        <v>347</v>
      </c>
      <c r="I58" s="6" t="s">
        <v>121</v>
      </c>
      <c r="J58" s="6"/>
      <c r="K58" s="6"/>
      <c r="L58" s="6"/>
      <c r="M58" s="6"/>
      <c r="N58" s="6"/>
    </row>
    <row r="59" spans="1:14" ht="36">
      <c r="A59" s="6" t="s">
        <v>348</v>
      </c>
      <c r="B59" s="6" t="s">
        <v>17</v>
      </c>
      <c r="C59" s="6" t="s">
        <v>344</v>
      </c>
      <c r="D59" s="6" t="s">
        <v>324</v>
      </c>
      <c r="E59" s="6" t="s">
        <v>349</v>
      </c>
      <c r="F59" s="6" t="s">
        <v>326</v>
      </c>
      <c r="G59" s="6" t="s">
        <v>350</v>
      </c>
      <c r="H59" s="6" t="s">
        <v>351</v>
      </c>
      <c r="I59" s="6" t="s">
        <v>121</v>
      </c>
      <c r="J59" s="6"/>
      <c r="K59" s="6"/>
      <c r="L59" s="6"/>
      <c r="M59" s="6"/>
      <c r="N59" s="6"/>
    </row>
    <row r="60" spans="1:14" ht="24">
      <c r="A60" s="6" t="s">
        <v>352</v>
      </c>
      <c r="B60" s="6" t="s">
        <v>17</v>
      </c>
      <c r="C60" s="6" t="s">
        <v>353</v>
      </c>
      <c r="D60" s="6" t="s">
        <v>354</v>
      </c>
      <c r="E60" s="6" t="s">
        <v>355</v>
      </c>
      <c r="F60" s="6" t="s">
        <v>326</v>
      </c>
      <c r="G60" s="6" t="s">
        <v>356</v>
      </c>
      <c r="H60" s="6" t="s">
        <v>357</v>
      </c>
      <c r="I60" s="6" t="s">
        <v>24</v>
      </c>
      <c r="J60" s="6" t="s">
        <v>358</v>
      </c>
      <c r="K60" s="6"/>
      <c r="L60" s="6"/>
      <c r="M60" s="6"/>
      <c r="N60" s="6"/>
    </row>
    <row r="61" spans="1:14" ht="24">
      <c r="A61" s="6" t="s">
        <v>359</v>
      </c>
      <c r="B61" s="6" t="s">
        <v>17</v>
      </c>
      <c r="C61" s="6" t="s">
        <v>360</v>
      </c>
      <c r="D61" s="6" t="s">
        <v>354</v>
      </c>
      <c r="E61" s="6" t="s">
        <v>361</v>
      </c>
      <c r="F61" s="6" t="s">
        <v>298</v>
      </c>
      <c r="G61" s="6" t="s">
        <v>362</v>
      </c>
      <c r="H61" s="6" t="s">
        <v>363</v>
      </c>
      <c r="I61" s="6" t="s">
        <v>24</v>
      </c>
      <c r="J61" s="6" t="s">
        <v>364</v>
      </c>
      <c r="K61" s="6"/>
      <c r="L61" s="6"/>
      <c r="M61" s="6"/>
      <c r="N61" s="6"/>
    </row>
    <row r="62" spans="1:14" ht="24">
      <c r="A62" s="6" t="s">
        <v>365</v>
      </c>
      <c r="B62" s="6" t="s">
        <v>17</v>
      </c>
      <c r="C62" s="6" t="s">
        <v>259</v>
      </c>
      <c r="D62" s="6" t="s">
        <v>366</v>
      </c>
      <c r="E62" s="6" t="s">
        <v>367</v>
      </c>
      <c r="F62" s="6" t="s">
        <v>84</v>
      </c>
      <c r="G62" s="6" t="s">
        <v>368</v>
      </c>
      <c r="H62" s="6" t="s">
        <v>369</v>
      </c>
      <c r="I62" s="6" t="s">
        <v>370</v>
      </c>
      <c r="J62" s="6" t="s">
        <v>371</v>
      </c>
      <c r="K62" s="6"/>
      <c r="L62" s="6"/>
      <c r="M62" s="6"/>
      <c r="N62" s="6"/>
    </row>
    <row r="63" spans="1:14" ht="24">
      <c r="A63" s="6" t="s">
        <v>372</v>
      </c>
      <c r="B63" s="6" t="s">
        <v>17</v>
      </c>
      <c r="C63" s="6" t="s">
        <v>259</v>
      </c>
      <c r="D63" s="6" t="s">
        <v>366</v>
      </c>
      <c r="E63" s="6" t="s">
        <v>373</v>
      </c>
      <c r="F63" s="6" t="s">
        <v>374</v>
      </c>
      <c r="G63" s="6" t="s">
        <v>375</v>
      </c>
      <c r="H63" s="6" t="s">
        <v>376</v>
      </c>
      <c r="I63" s="6" t="s">
        <v>370</v>
      </c>
      <c r="J63" s="6" t="s">
        <v>371</v>
      </c>
      <c r="K63" s="6"/>
      <c r="L63" s="6"/>
      <c r="M63" s="6"/>
      <c r="N63" s="6"/>
    </row>
    <row r="64" spans="1:14" ht="24">
      <c r="A64" s="6" t="s">
        <v>377</v>
      </c>
      <c r="B64" s="6" t="s">
        <v>17</v>
      </c>
      <c r="C64" s="6" t="s">
        <v>259</v>
      </c>
      <c r="D64" s="6" t="s">
        <v>378</v>
      </c>
      <c r="E64" s="6" t="s">
        <v>379</v>
      </c>
      <c r="F64" s="6" t="s">
        <v>380</v>
      </c>
      <c r="G64" s="6" t="s">
        <v>381</v>
      </c>
      <c r="H64" s="6" t="s">
        <v>382</v>
      </c>
      <c r="I64" s="6" t="s">
        <v>370</v>
      </c>
      <c r="J64" s="6" t="s">
        <v>371</v>
      </c>
      <c r="K64" s="6"/>
      <c r="L64" s="6"/>
      <c r="M64" s="6"/>
      <c r="N64" s="6"/>
    </row>
    <row r="65" spans="1:14" ht="36">
      <c r="A65" s="6" t="s">
        <v>383</v>
      </c>
      <c r="B65" s="6" t="s">
        <v>17</v>
      </c>
      <c r="C65" s="6" t="s">
        <v>259</v>
      </c>
      <c r="D65" s="6" t="s">
        <v>384</v>
      </c>
      <c r="E65" s="6" t="s">
        <v>385</v>
      </c>
      <c r="F65" s="6" t="s">
        <v>275</v>
      </c>
      <c r="G65" s="6" t="s">
        <v>386</v>
      </c>
      <c r="H65" s="6" t="s">
        <v>387</v>
      </c>
      <c r="I65" s="6" t="s">
        <v>24</v>
      </c>
      <c r="J65" s="6" t="s">
        <v>388</v>
      </c>
      <c r="K65" s="6"/>
      <c r="L65" s="6"/>
      <c r="M65" s="6"/>
      <c r="N65" s="6"/>
    </row>
  </sheetData>
  <mergeCells count="2">
    <mergeCell ref="A1:N1"/>
    <mergeCell ref="A2:N2"/>
  </mergeCells>
  <conditionalFormatting sqref="I4:I65">
    <cfRule type="expression" dxfId="14" priority="1">
      <formula>I4="Réussi"</formula>
    </cfRule>
    <cfRule type="expression" dxfId="13" priority="2">
      <formula>I4="Échoué"</formula>
    </cfRule>
    <cfRule type="expression" dxfId="12" priority="3">
      <formula>I4="À tester"</formula>
    </cfRule>
    <cfRule type="expression" dxfId="11" priority="4">
      <formula>I4="En cours"</formula>
    </cfRule>
    <cfRule type="expression" dxfId="10" priority="5">
      <formula>I4="Bloqué"</formula>
    </cfRule>
  </conditionalFormatting>
  <conditionalFormatting sqref="B4:B65">
    <cfRule type="expression" dxfId="9" priority="6">
      <formula>B4="P0"</formula>
    </cfRule>
    <cfRule type="expression" dxfId="8" priority="7">
      <formula>B4="P1"</formula>
    </cfRule>
  </conditionalFormatting>
  <dataValidations count="1">
    <dataValidation type="list" sqref="I4:I65" xr:uid="{00000000-0002-0000-0000-000000000000}">
      <formula1>"À tester,En cours,Réussi,Échoué,Bloqué,Non applicable"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"/>
  <sheetViews>
    <sheetView workbookViewId="0"/>
  </sheetViews>
  <sheetFormatPr defaultColWidth="8.75" defaultRowHeight="14.25"/>
  <cols>
    <col min="1" max="1" width="12" customWidth="1"/>
    <col min="2" max="2" width="8" customWidth="1"/>
    <col min="3" max="3" width="20" customWidth="1"/>
    <col min="4" max="4" width="30" customWidth="1"/>
    <col min="5" max="5" width="24" customWidth="1"/>
    <col min="6" max="6" width="18" customWidth="1"/>
    <col min="7" max="7" width="28" customWidth="1"/>
    <col min="8" max="8" width="68" customWidth="1"/>
    <col min="9" max="9" width="42" customWidth="1"/>
  </cols>
  <sheetData>
    <row r="1" spans="1:9" ht="24" customHeight="1">
      <c r="A1" s="22" t="s">
        <v>389</v>
      </c>
      <c r="B1" s="22"/>
      <c r="C1" s="22"/>
      <c r="D1" s="22"/>
      <c r="E1" s="22"/>
      <c r="F1" s="22"/>
      <c r="G1" s="22"/>
      <c r="H1" s="22"/>
      <c r="I1" s="22"/>
    </row>
    <row r="3" spans="1:9" ht="15">
      <c r="A3" s="19" t="s">
        <v>390</v>
      </c>
      <c r="B3" s="19" t="s">
        <v>391</v>
      </c>
      <c r="C3" s="19" t="s">
        <v>392</v>
      </c>
      <c r="D3" s="19" t="s">
        <v>393</v>
      </c>
      <c r="E3" s="19" t="s">
        <v>394</v>
      </c>
      <c r="F3" s="19" t="s">
        <v>395</v>
      </c>
      <c r="G3" s="19" t="s">
        <v>396</v>
      </c>
      <c r="H3" s="19" t="s">
        <v>397</v>
      </c>
      <c r="I3" s="19" t="s">
        <v>398</v>
      </c>
    </row>
    <row r="4" spans="1:9">
      <c r="A4" s="1" t="s">
        <v>399</v>
      </c>
      <c r="B4" s="2">
        <v>1</v>
      </c>
      <c r="C4" s="1" t="s">
        <v>400</v>
      </c>
      <c r="D4" s="1" t="s">
        <v>401</v>
      </c>
      <c r="E4" s="1"/>
      <c r="F4" s="1" t="s">
        <v>402</v>
      </c>
      <c r="G4" s="1" t="s">
        <v>47</v>
      </c>
      <c r="H4" s="1" t="s">
        <v>403</v>
      </c>
      <c r="I4" s="1" t="s">
        <v>404</v>
      </c>
    </row>
    <row r="5" spans="1:9">
      <c r="A5" s="1" t="s">
        <v>405</v>
      </c>
      <c r="B5" s="2">
        <v>2</v>
      </c>
      <c r="C5" s="1" t="s">
        <v>400</v>
      </c>
      <c r="D5" s="1" t="s">
        <v>406</v>
      </c>
      <c r="E5" s="1"/>
      <c r="F5" s="1" t="s">
        <v>402</v>
      </c>
      <c r="G5" s="1" t="s">
        <v>47</v>
      </c>
      <c r="H5" s="1" t="s">
        <v>407</v>
      </c>
      <c r="I5" s="1" t="s">
        <v>408</v>
      </c>
    </row>
    <row r="6" spans="1:9" ht="57">
      <c r="A6" s="1" t="s">
        <v>70</v>
      </c>
      <c r="B6" s="2">
        <v>3</v>
      </c>
      <c r="C6" s="1" t="s">
        <v>409</v>
      </c>
      <c r="D6" s="1" t="s">
        <v>410</v>
      </c>
      <c r="E6" s="1"/>
      <c r="F6" s="1" t="s">
        <v>402</v>
      </c>
      <c r="G6" s="1" t="s">
        <v>179</v>
      </c>
      <c r="H6" s="1" t="s">
        <v>411</v>
      </c>
      <c r="I6" s="1" t="s">
        <v>412</v>
      </c>
    </row>
    <row r="7" spans="1:9" ht="42.75">
      <c r="A7" s="1" t="s">
        <v>413</v>
      </c>
      <c r="B7" s="2">
        <v>4</v>
      </c>
      <c r="C7" s="1" t="s">
        <v>409</v>
      </c>
      <c r="D7" s="1" t="s">
        <v>414</v>
      </c>
      <c r="E7" s="1"/>
      <c r="F7" s="1" t="s">
        <v>402</v>
      </c>
      <c r="G7" s="1" t="s">
        <v>47</v>
      </c>
      <c r="H7" s="1" t="s">
        <v>415</v>
      </c>
      <c r="I7" s="1" t="s">
        <v>416</v>
      </c>
    </row>
    <row r="8" spans="1:9" ht="42.75">
      <c r="A8" s="1" t="s">
        <v>153</v>
      </c>
      <c r="B8" s="2">
        <v>5</v>
      </c>
      <c r="C8" s="1" t="s">
        <v>409</v>
      </c>
      <c r="D8" s="1" t="s">
        <v>417</v>
      </c>
      <c r="E8" s="1"/>
      <c r="F8" s="1" t="s">
        <v>402</v>
      </c>
      <c r="G8" s="1" t="s">
        <v>146</v>
      </c>
      <c r="H8" s="1" t="s">
        <v>418</v>
      </c>
      <c r="I8" s="1" t="s">
        <v>419</v>
      </c>
    </row>
    <row r="9" spans="1:9" ht="42.75">
      <c r="A9" s="1" t="s">
        <v>77</v>
      </c>
      <c r="B9" s="2">
        <v>6</v>
      </c>
      <c r="C9" s="1" t="s">
        <v>420</v>
      </c>
      <c r="D9" s="1" t="s">
        <v>421</v>
      </c>
      <c r="E9" s="1" t="s">
        <v>70</v>
      </c>
      <c r="F9" s="1" t="s">
        <v>422</v>
      </c>
      <c r="G9" s="1" t="s">
        <v>179</v>
      </c>
      <c r="H9" s="1" t="s">
        <v>423</v>
      </c>
      <c r="I9" s="1" t="s">
        <v>424</v>
      </c>
    </row>
    <row r="10" spans="1:9" ht="28.5">
      <c r="A10" s="1" t="s">
        <v>425</v>
      </c>
      <c r="B10" s="2">
        <v>7</v>
      </c>
      <c r="C10" s="1" t="s">
        <v>420</v>
      </c>
      <c r="D10" s="1" t="s">
        <v>426</v>
      </c>
      <c r="E10" s="1" t="s">
        <v>413</v>
      </c>
      <c r="F10" s="1" t="s">
        <v>427</v>
      </c>
      <c r="G10" s="1" t="s">
        <v>179</v>
      </c>
      <c r="H10" s="1" t="s">
        <v>428</v>
      </c>
      <c r="I10" s="1" t="s">
        <v>429</v>
      </c>
    </row>
    <row r="11" spans="1:9" ht="28.5">
      <c r="A11" s="1" t="s">
        <v>159</v>
      </c>
      <c r="B11" s="2">
        <v>8</v>
      </c>
      <c r="C11" s="1" t="s">
        <v>157</v>
      </c>
      <c r="D11" s="1" t="s">
        <v>430</v>
      </c>
      <c r="E11" s="1" t="s">
        <v>431</v>
      </c>
      <c r="F11" s="1" t="s">
        <v>432</v>
      </c>
      <c r="G11" s="1" t="s">
        <v>179</v>
      </c>
      <c r="H11" s="1" t="s">
        <v>433</v>
      </c>
      <c r="I11" s="1" t="s">
        <v>434</v>
      </c>
    </row>
    <row r="12" spans="1:9">
      <c r="A12" s="1" t="s">
        <v>435</v>
      </c>
      <c r="B12" s="2">
        <v>9</v>
      </c>
      <c r="C12" s="1" t="s">
        <v>157</v>
      </c>
      <c r="D12" s="1" t="s">
        <v>436</v>
      </c>
      <c r="E12" s="1" t="s">
        <v>437</v>
      </c>
      <c r="F12" s="1" t="s">
        <v>438</v>
      </c>
      <c r="G12" s="1" t="s">
        <v>179</v>
      </c>
      <c r="H12" s="1" t="s">
        <v>439</v>
      </c>
      <c r="I12" s="1" t="s">
        <v>440</v>
      </c>
    </row>
    <row r="13" spans="1:9" ht="28.5">
      <c r="A13" s="1" t="s">
        <v>164</v>
      </c>
      <c r="B13" s="2">
        <v>10</v>
      </c>
      <c r="C13" s="1" t="s">
        <v>441</v>
      </c>
      <c r="D13" s="1" t="s">
        <v>442</v>
      </c>
      <c r="E13" s="1" t="s">
        <v>159</v>
      </c>
      <c r="F13" s="1" t="s">
        <v>443</v>
      </c>
      <c r="G13" s="1" t="s">
        <v>146</v>
      </c>
      <c r="H13" s="1" t="s">
        <v>444</v>
      </c>
      <c r="I13" s="1" t="s">
        <v>445</v>
      </c>
    </row>
    <row r="14" spans="1:9">
      <c r="A14" s="1" t="s">
        <v>446</v>
      </c>
      <c r="B14" s="2">
        <v>11</v>
      </c>
      <c r="C14" s="1" t="s">
        <v>441</v>
      </c>
      <c r="D14" s="1" t="s">
        <v>447</v>
      </c>
      <c r="E14" s="1" t="s">
        <v>435</v>
      </c>
      <c r="F14" s="1" t="s">
        <v>448</v>
      </c>
      <c r="G14" s="1" t="s">
        <v>146</v>
      </c>
      <c r="H14" s="1" t="s">
        <v>449</v>
      </c>
      <c r="I14" s="1" t="s">
        <v>450</v>
      </c>
    </row>
    <row r="15" spans="1:9" ht="28.5">
      <c r="A15" s="1" t="s">
        <v>84</v>
      </c>
      <c r="B15" s="2">
        <v>12</v>
      </c>
      <c r="C15" s="1" t="s">
        <v>451</v>
      </c>
      <c r="D15" s="1" t="s">
        <v>452</v>
      </c>
      <c r="E15" s="1" t="s">
        <v>453</v>
      </c>
      <c r="F15" s="1" t="s">
        <v>454</v>
      </c>
      <c r="G15" s="1" t="s">
        <v>455</v>
      </c>
      <c r="H15" s="1" t="s">
        <v>456</v>
      </c>
      <c r="I15" s="1" t="s">
        <v>457</v>
      </c>
    </row>
    <row r="16" spans="1:9" ht="28.5">
      <c r="A16" s="1" t="s">
        <v>275</v>
      </c>
      <c r="B16" s="2">
        <v>13</v>
      </c>
      <c r="C16" s="1" t="s">
        <v>451</v>
      </c>
      <c r="D16" s="1" t="s">
        <v>458</v>
      </c>
      <c r="E16" s="1" t="s">
        <v>459</v>
      </c>
      <c r="F16" s="1" t="s">
        <v>460</v>
      </c>
      <c r="G16" s="1" t="s">
        <v>461</v>
      </c>
      <c r="H16" s="1" t="s">
        <v>462</v>
      </c>
      <c r="I16" s="1" t="s">
        <v>463</v>
      </c>
    </row>
    <row r="17" spans="1:9" ht="28.5">
      <c r="A17" s="1" t="s">
        <v>244</v>
      </c>
      <c r="B17" s="2">
        <v>14</v>
      </c>
      <c r="C17" s="1" t="s">
        <v>464</v>
      </c>
      <c r="D17" s="1" t="s">
        <v>465</v>
      </c>
      <c r="E17" s="1" t="s">
        <v>84</v>
      </c>
      <c r="F17" s="1" t="s">
        <v>466</v>
      </c>
      <c r="G17" s="1" t="s">
        <v>455</v>
      </c>
      <c r="H17" s="1" t="s">
        <v>467</v>
      </c>
      <c r="I17" s="1" t="s">
        <v>468</v>
      </c>
    </row>
    <row r="18" spans="1:9">
      <c r="A18" s="1" t="s">
        <v>285</v>
      </c>
      <c r="B18" s="2">
        <v>15</v>
      </c>
      <c r="C18" s="1" t="s">
        <v>464</v>
      </c>
      <c r="D18" s="1" t="s">
        <v>469</v>
      </c>
      <c r="E18" s="1" t="s">
        <v>84</v>
      </c>
      <c r="F18" s="1" t="s">
        <v>466</v>
      </c>
      <c r="G18" s="1" t="s">
        <v>470</v>
      </c>
      <c r="H18" s="1" t="s">
        <v>471</v>
      </c>
      <c r="I18" s="1" t="s">
        <v>472</v>
      </c>
    </row>
    <row r="19" spans="1:9">
      <c r="A19" s="1" t="s">
        <v>473</v>
      </c>
      <c r="B19" s="2">
        <v>16</v>
      </c>
      <c r="C19" s="1" t="s">
        <v>464</v>
      </c>
      <c r="D19" s="1" t="s">
        <v>474</v>
      </c>
      <c r="E19" s="1" t="s">
        <v>84</v>
      </c>
      <c r="F19" s="1" t="s">
        <v>475</v>
      </c>
      <c r="G19" s="1" t="s">
        <v>470</v>
      </c>
      <c r="H19" s="1" t="s">
        <v>476</v>
      </c>
      <c r="I19" s="1" t="s">
        <v>477</v>
      </c>
    </row>
    <row r="20" spans="1:9">
      <c r="A20" s="1" t="s">
        <v>478</v>
      </c>
      <c r="B20" s="2">
        <v>17</v>
      </c>
      <c r="C20" s="1" t="s">
        <v>464</v>
      </c>
      <c r="D20" s="1" t="s">
        <v>479</v>
      </c>
      <c r="E20" s="1" t="s">
        <v>275</v>
      </c>
      <c r="F20" s="1" t="s">
        <v>466</v>
      </c>
      <c r="G20" s="1" t="s">
        <v>461</v>
      </c>
      <c r="H20" s="1" t="s">
        <v>480</v>
      </c>
      <c r="I20" s="1" t="s">
        <v>481</v>
      </c>
    </row>
    <row r="21" spans="1:9">
      <c r="A21" s="1" t="s">
        <v>482</v>
      </c>
      <c r="B21" s="2">
        <v>18</v>
      </c>
      <c r="C21" s="1" t="s">
        <v>483</v>
      </c>
      <c r="D21" s="1" t="s">
        <v>484</v>
      </c>
      <c r="E21" s="1" t="s">
        <v>84</v>
      </c>
      <c r="F21" s="1" t="s">
        <v>485</v>
      </c>
      <c r="G21" s="1" t="s">
        <v>47</v>
      </c>
      <c r="H21" s="1" t="s">
        <v>486</v>
      </c>
      <c r="I21" s="1" t="s">
        <v>487</v>
      </c>
    </row>
    <row r="22" spans="1:9">
      <c r="A22" s="1" t="s">
        <v>488</v>
      </c>
      <c r="B22" s="2">
        <v>19</v>
      </c>
      <c r="C22" s="1" t="s">
        <v>483</v>
      </c>
      <c r="D22" s="1" t="s">
        <v>489</v>
      </c>
      <c r="E22" s="1" t="s">
        <v>84</v>
      </c>
      <c r="F22" s="1" t="s">
        <v>485</v>
      </c>
      <c r="G22" s="1" t="s">
        <v>179</v>
      </c>
      <c r="H22" s="1" t="s">
        <v>490</v>
      </c>
      <c r="I22" s="1" t="s">
        <v>491</v>
      </c>
    </row>
    <row r="23" spans="1:9">
      <c r="A23" s="1" t="s">
        <v>492</v>
      </c>
      <c r="B23" s="2">
        <v>20</v>
      </c>
      <c r="C23" s="1" t="s">
        <v>483</v>
      </c>
      <c r="D23" s="1" t="s">
        <v>493</v>
      </c>
      <c r="E23" s="1" t="s">
        <v>275</v>
      </c>
      <c r="F23" s="1" t="s">
        <v>485</v>
      </c>
      <c r="G23" s="1" t="s">
        <v>47</v>
      </c>
      <c r="H23" s="1" t="s">
        <v>494</v>
      </c>
      <c r="I23" s="1" t="s">
        <v>481</v>
      </c>
    </row>
    <row r="24" spans="1:9" ht="28.5">
      <c r="A24" s="1" t="s">
        <v>298</v>
      </c>
      <c r="B24" s="2">
        <v>21</v>
      </c>
      <c r="C24" s="1" t="s">
        <v>495</v>
      </c>
      <c r="D24" s="1" t="s">
        <v>496</v>
      </c>
      <c r="E24" s="1" t="s">
        <v>497</v>
      </c>
      <c r="F24" s="1" t="s">
        <v>498</v>
      </c>
      <c r="G24" s="1" t="s">
        <v>499</v>
      </c>
      <c r="H24" s="1" t="s">
        <v>500</v>
      </c>
      <c r="I24" s="1" t="s">
        <v>501</v>
      </c>
    </row>
    <row r="25" spans="1:9" ht="28.5">
      <c r="A25" s="1" t="s">
        <v>169</v>
      </c>
      <c r="B25" s="2">
        <v>22</v>
      </c>
      <c r="C25" s="1" t="s">
        <v>495</v>
      </c>
      <c r="D25" s="1" t="s">
        <v>502</v>
      </c>
      <c r="E25" s="1" t="s">
        <v>503</v>
      </c>
      <c r="F25" s="1" t="s">
        <v>504</v>
      </c>
      <c r="G25" s="1" t="s">
        <v>505</v>
      </c>
      <c r="H25" s="1" t="s">
        <v>506</v>
      </c>
      <c r="I25" s="1" t="s">
        <v>507</v>
      </c>
    </row>
    <row r="26" spans="1:9" ht="28.5">
      <c r="A26" s="1" t="s">
        <v>326</v>
      </c>
      <c r="B26" s="2">
        <v>23</v>
      </c>
      <c r="C26" s="1" t="s">
        <v>508</v>
      </c>
      <c r="D26" s="1" t="s">
        <v>509</v>
      </c>
      <c r="E26" s="1"/>
      <c r="F26" s="1" t="s">
        <v>510</v>
      </c>
      <c r="G26" s="1" t="s">
        <v>511</v>
      </c>
      <c r="H26" s="1" t="s">
        <v>512</v>
      </c>
      <c r="I26" s="1" t="s">
        <v>513</v>
      </c>
    </row>
    <row r="27" spans="1:9">
      <c r="A27" s="1" t="s">
        <v>514</v>
      </c>
      <c r="B27" s="2">
        <v>24</v>
      </c>
      <c r="C27" s="1" t="s">
        <v>508</v>
      </c>
      <c r="D27" s="1" t="s">
        <v>515</v>
      </c>
      <c r="E27" s="1"/>
      <c r="F27" s="1" t="s">
        <v>516</v>
      </c>
      <c r="G27" s="1" t="s">
        <v>517</v>
      </c>
      <c r="H27" s="1" t="s">
        <v>518</v>
      </c>
      <c r="I27" s="1" t="s">
        <v>519</v>
      </c>
    </row>
    <row r="28" spans="1:9" ht="28.5">
      <c r="A28" s="1" t="s">
        <v>520</v>
      </c>
      <c r="B28" s="2">
        <v>25</v>
      </c>
      <c r="C28" s="1" t="s">
        <v>521</v>
      </c>
      <c r="D28" s="1" t="s">
        <v>522</v>
      </c>
      <c r="E28" s="1"/>
      <c r="F28" s="1" t="s">
        <v>402</v>
      </c>
      <c r="G28" s="1" t="s">
        <v>47</v>
      </c>
      <c r="H28" s="1" t="s">
        <v>523</v>
      </c>
      <c r="I28" s="1" t="s">
        <v>524</v>
      </c>
    </row>
    <row r="29" spans="1:9">
      <c r="A29" s="1" t="s">
        <v>525</v>
      </c>
      <c r="B29" s="2">
        <v>26</v>
      </c>
      <c r="C29" s="1" t="s">
        <v>526</v>
      </c>
      <c r="D29" s="1" t="s">
        <v>527</v>
      </c>
      <c r="E29" s="1" t="s">
        <v>520</v>
      </c>
      <c r="F29" s="1" t="s">
        <v>402</v>
      </c>
      <c r="G29" s="1" t="s">
        <v>47</v>
      </c>
      <c r="H29" s="1" t="s">
        <v>528</v>
      </c>
      <c r="I29" s="1" t="s">
        <v>529</v>
      </c>
    </row>
    <row r="30" spans="1:9">
      <c r="A30" s="1" t="s">
        <v>530</v>
      </c>
      <c r="B30" s="2">
        <v>27</v>
      </c>
      <c r="C30" s="1" t="s">
        <v>531</v>
      </c>
      <c r="D30" s="1" t="s">
        <v>532</v>
      </c>
      <c r="E30" s="1"/>
      <c r="F30" s="1" t="s">
        <v>402</v>
      </c>
      <c r="G30" s="1" t="s">
        <v>47</v>
      </c>
      <c r="H30" s="1" t="s">
        <v>533</v>
      </c>
      <c r="I30" s="1" t="s">
        <v>534</v>
      </c>
    </row>
    <row r="31" spans="1:9" ht="28.5">
      <c r="A31" s="1" t="s">
        <v>535</v>
      </c>
      <c r="B31" s="2">
        <v>28</v>
      </c>
      <c r="C31" s="1" t="s">
        <v>536</v>
      </c>
      <c r="D31" s="1" t="s">
        <v>537</v>
      </c>
      <c r="E31" s="1" t="s">
        <v>538</v>
      </c>
      <c r="F31" s="1" t="s">
        <v>402</v>
      </c>
      <c r="G31" s="1" t="s">
        <v>47</v>
      </c>
      <c r="H31" s="1" t="s">
        <v>539</v>
      </c>
      <c r="I31" s="1" t="s">
        <v>540</v>
      </c>
    </row>
  </sheetData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/>
  </sheetViews>
  <sheetFormatPr defaultColWidth="8.75" defaultRowHeight="14.25"/>
  <cols>
    <col min="1" max="1" width="18" customWidth="1"/>
    <col min="2" max="2" width="20" customWidth="1"/>
    <col min="3" max="3" width="34" customWidth="1"/>
    <col min="4" max="4" width="24" customWidth="1"/>
    <col min="5" max="5" width="20" customWidth="1"/>
    <col min="6" max="6" width="45" customWidth="1"/>
    <col min="7" max="7" width="36" customWidth="1"/>
  </cols>
  <sheetData>
    <row r="1" spans="1:7" ht="24" customHeight="1">
      <c r="A1" s="22" t="s">
        <v>541</v>
      </c>
      <c r="B1" s="22"/>
      <c r="C1" s="22"/>
      <c r="D1" s="22"/>
      <c r="E1" s="22"/>
      <c r="F1" s="22"/>
      <c r="G1" s="22"/>
    </row>
    <row r="3" spans="1:7" ht="15">
      <c r="A3" s="19" t="s">
        <v>4</v>
      </c>
      <c r="B3" s="19" t="s">
        <v>542</v>
      </c>
      <c r="C3" s="19" t="s">
        <v>543</v>
      </c>
      <c r="D3" s="19" t="s">
        <v>544</v>
      </c>
      <c r="E3" s="19" t="s">
        <v>545</v>
      </c>
      <c r="F3" s="19" t="s">
        <v>546</v>
      </c>
      <c r="G3" s="19" t="s">
        <v>547</v>
      </c>
    </row>
    <row r="4" spans="1:7" ht="28.5">
      <c r="A4" s="1" t="s">
        <v>548</v>
      </c>
      <c r="B4" s="1" t="s">
        <v>549</v>
      </c>
      <c r="C4" s="1" t="s">
        <v>550</v>
      </c>
      <c r="D4" s="1" t="s">
        <v>551</v>
      </c>
      <c r="E4" s="1" t="s">
        <v>552</v>
      </c>
      <c r="F4" s="1" t="s">
        <v>553</v>
      </c>
      <c r="G4" s="1" t="s">
        <v>554</v>
      </c>
    </row>
    <row r="5" spans="1:7" ht="28.5">
      <c r="A5" s="1" t="s">
        <v>555</v>
      </c>
      <c r="B5" s="1" t="s">
        <v>556</v>
      </c>
      <c r="C5" s="1" t="s">
        <v>181</v>
      </c>
      <c r="D5" s="1" t="s">
        <v>557</v>
      </c>
      <c r="E5" s="1" t="s">
        <v>558</v>
      </c>
      <c r="F5" s="1" t="s">
        <v>559</v>
      </c>
      <c r="G5" s="1" t="s">
        <v>560</v>
      </c>
    </row>
    <row r="6" spans="1:7" ht="28.5">
      <c r="A6" s="1" t="s">
        <v>561</v>
      </c>
      <c r="B6" s="1" t="s">
        <v>562</v>
      </c>
      <c r="C6" s="1" t="s">
        <v>148</v>
      </c>
      <c r="D6" s="1" t="s">
        <v>563</v>
      </c>
      <c r="E6" s="1" t="s">
        <v>564</v>
      </c>
      <c r="F6" s="1" t="s">
        <v>565</v>
      </c>
      <c r="G6" s="1" t="s">
        <v>566</v>
      </c>
    </row>
    <row r="7" spans="1:7" ht="28.5">
      <c r="A7" s="1" t="s">
        <v>567</v>
      </c>
      <c r="B7" s="1" t="s">
        <v>568</v>
      </c>
      <c r="C7" s="1" t="s">
        <v>228</v>
      </c>
      <c r="D7" s="1" t="s">
        <v>569</v>
      </c>
      <c r="E7" s="1" t="s">
        <v>570</v>
      </c>
      <c r="F7" s="1" t="s">
        <v>571</v>
      </c>
      <c r="G7" s="1" t="s">
        <v>572</v>
      </c>
    </row>
    <row r="8" spans="1:7" ht="28.5">
      <c r="A8" s="1" t="s">
        <v>573</v>
      </c>
      <c r="B8" s="1" t="s">
        <v>574</v>
      </c>
      <c r="C8" s="1" t="s">
        <v>261</v>
      </c>
      <c r="D8" s="1" t="s">
        <v>575</v>
      </c>
      <c r="E8" s="1" t="s">
        <v>576</v>
      </c>
      <c r="F8" s="1" t="s">
        <v>577</v>
      </c>
      <c r="G8" s="1" t="s">
        <v>578</v>
      </c>
    </row>
    <row r="10" spans="1:7" ht="15.75">
      <c r="A10" s="23" t="s">
        <v>33</v>
      </c>
      <c r="B10" s="23"/>
      <c r="C10" s="23"/>
      <c r="D10" s="23"/>
      <c r="E10" s="23"/>
      <c r="F10" s="23"/>
      <c r="G10" s="23"/>
    </row>
    <row r="11" spans="1:7">
      <c r="A11" s="1" t="s">
        <v>579</v>
      </c>
      <c r="B11" s="24" t="s">
        <v>580</v>
      </c>
      <c r="C11" s="24"/>
      <c r="D11" s="24"/>
      <c r="E11" s="24"/>
      <c r="F11" s="24"/>
      <c r="G11" s="24"/>
    </row>
  </sheetData>
  <mergeCells count="3">
    <mergeCell ref="A1:G1"/>
    <mergeCell ref="A10:G10"/>
    <mergeCell ref="B11:G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"/>
  <sheetViews>
    <sheetView workbookViewId="0"/>
  </sheetViews>
  <sheetFormatPr defaultRowHeight="14.25"/>
  <cols>
    <col min="1" max="1" width="24" customWidth="1"/>
    <col min="2" max="2" width="15" customWidth="1"/>
    <col min="3" max="3" width="20" customWidth="1"/>
    <col min="4" max="4" width="32" customWidth="1"/>
    <col min="5" max="5" width="46" customWidth="1"/>
    <col min="6" max="6" width="44" customWidth="1"/>
    <col min="7" max="7" width="13" customWidth="1"/>
    <col min="8" max="8" width="14" customWidth="1"/>
    <col min="9" max="9" width="36" customWidth="1"/>
    <col min="10" max="10" width="40" customWidth="1"/>
  </cols>
  <sheetData>
    <row r="1" spans="1:10" ht="27.95" customHeight="1">
      <c r="A1" s="20" t="s">
        <v>581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32.1" customHeight="1">
      <c r="A2" s="25" t="s">
        <v>582</v>
      </c>
      <c r="B2" s="25"/>
      <c r="C2" s="25"/>
      <c r="D2" s="25"/>
      <c r="E2" s="25"/>
      <c r="F2" s="25"/>
      <c r="G2" s="25"/>
      <c r="H2" s="25"/>
      <c r="I2" s="25"/>
      <c r="J2" s="25"/>
    </row>
    <row r="4" spans="1:10" ht="33.950000000000003" customHeight="1">
      <c r="A4" s="7" t="s">
        <v>14</v>
      </c>
      <c r="B4" s="8" t="s">
        <v>2</v>
      </c>
      <c r="C4" s="8" t="s">
        <v>5</v>
      </c>
      <c r="D4" s="8" t="s">
        <v>583</v>
      </c>
      <c r="E4" s="8" t="s">
        <v>11</v>
      </c>
      <c r="F4" s="8" t="s">
        <v>9</v>
      </c>
      <c r="G4" s="8" t="s">
        <v>584</v>
      </c>
      <c r="H4" s="8" t="s">
        <v>10</v>
      </c>
      <c r="I4" s="8" t="s">
        <v>13</v>
      </c>
      <c r="J4" s="9" t="s">
        <v>15</v>
      </c>
    </row>
    <row r="5" spans="1:10" ht="90" customHeight="1">
      <c r="A5" s="10" t="s">
        <v>106</v>
      </c>
      <c r="B5" s="11" t="s">
        <v>95</v>
      </c>
      <c r="C5" s="11" t="s">
        <v>97</v>
      </c>
      <c r="D5" s="11" t="s">
        <v>585</v>
      </c>
      <c r="E5" s="11" t="s">
        <v>586</v>
      </c>
      <c r="F5" s="11" t="s">
        <v>587</v>
      </c>
      <c r="G5" s="11" t="s">
        <v>104</v>
      </c>
      <c r="H5" s="11" t="s">
        <v>588</v>
      </c>
      <c r="I5" s="11" t="s">
        <v>105</v>
      </c>
      <c r="J5" s="12" t="s">
        <v>107</v>
      </c>
    </row>
    <row r="6" spans="1:10" ht="90" customHeight="1">
      <c r="A6" s="13" t="s">
        <v>130</v>
      </c>
      <c r="B6" s="14" t="s">
        <v>122</v>
      </c>
      <c r="C6" s="14" t="s">
        <v>123</v>
      </c>
      <c r="D6" s="14" t="s">
        <v>589</v>
      </c>
      <c r="E6" s="14" t="s">
        <v>590</v>
      </c>
      <c r="F6" s="14" t="s">
        <v>591</v>
      </c>
      <c r="G6" s="14" t="s">
        <v>104</v>
      </c>
      <c r="H6" s="14" t="s">
        <v>588</v>
      </c>
      <c r="I6" s="14" t="s">
        <v>129</v>
      </c>
      <c r="J6" s="15" t="s">
        <v>131</v>
      </c>
    </row>
  </sheetData>
  <mergeCells count="2">
    <mergeCell ref="A1:J1"/>
    <mergeCell ref="A2:J2"/>
  </mergeCells>
  <conditionalFormatting sqref="G5:G100">
    <cfRule type="expression" dxfId="7" priority="1">
      <formula>G5="Critique"</formula>
    </cfRule>
    <cfRule type="expression" dxfId="6" priority="2">
      <formula>G5="Haute"</formula>
    </cfRule>
  </conditionalFormatting>
  <conditionalFormatting sqref="H5:H100">
    <cfRule type="expression" dxfId="5" priority="3">
      <formula>H5="Ouverte"</formula>
    </cfRule>
  </conditionalFormatting>
  <dataValidations count="2">
    <dataValidation type="list" sqref="G5:G100" xr:uid="{00000000-0002-0000-0400-000000000000}">
      <formula1>"Faible,Moyenne,Haute,Critique"</formula1>
    </dataValidation>
    <dataValidation type="list" sqref="H5:H100" xr:uid="{00000000-0002-0000-0400-000001000000}">
      <formula1>"Ouverte,En cours,Corrigée,Fermée"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topLeftCell="A5" workbookViewId="0"/>
  </sheetViews>
  <sheetFormatPr defaultColWidth="8.75" defaultRowHeight="14.25"/>
  <cols>
    <col min="1" max="1" width="27" customWidth="1"/>
    <col min="2" max="3" width="14" customWidth="1"/>
    <col min="4" max="5" width="18" customWidth="1"/>
    <col min="6" max="6" width="14" customWidth="1"/>
  </cols>
  <sheetData>
    <row r="1" spans="1:8" ht="24" customHeight="1">
      <c r="A1" s="20" t="s">
        <v>592</v>
      </c>
      <c r="B1" s="20"/>
      <c r="C1" s="20"/>
      <c r="D1" s="20"/>
      <c r="E1" s="20"/>
      <c r="F1" s="20"/>
      <c r="G1" s="22"/>
      <c r="H1" s="22"/>
    </row>
    <row r="3" spans="1:8">
      <c r="A3" s="16" t="s">
        <v>593</v>
      </c>
      <c r="B3" s="17" t="s">
        <v>594</v>
      </c>
      <c r="D3" s="16" t="s">
        <v>10</v>
      </c>
      <c r="E3" s="17" t="s">
        <v>595</v>
      </c>
    </row>
    <row r="4" spans="1:8">
      <c r="A4" s="3" t="s">
        <v>596</v>
      </c>
      <c r="B4" s="3">
        <f>COUNTA('Checklist manuelle'!$A$4:$A$500)</f>
        <v>62</v>
      </c>
      <c r="C4" s="3"/>
      <c r="D4" s="3" t="s">
        <v>121</v>
      </c>
      <c r="E4" s="3">
        <f>COUNTIF('Checklist manuelle'!$I$4:$I$500,"À tester")</f>
        <v>17</v>
      </c>
      <c r="F4" s="3"/>
    </row>
    <row r="5" spans="1:8" ht="15">
      <c r="A5" s="3" t="s">
        <v>597</v>
      </c>
      <c r="B5" s="3">
        <f>COUNTIF('Checklist manuelle'!$B$4:$B$500,"P0")</f>
        <v>56</v>
      </c>
      <c r="C5" s="3"/>
      <c r="D5" s="3" t="s">
        <v>370</v>
      </c>
      <c r="E5" s="3">
        <f>COUNTIF('Checklist manuelle'!$I$4:$I$500,"En cours")</f>
        <v>3</v>
      </c>
      <c r="F5" s="3"/>
    </row>
    <row r="6" spans="1:8" ht="15">
      <c r="A6" s="3" t="s">
        <v>598</v>
      </c>
      <c r="B6" s="3">
        <f>COUNTIF('Checklist manuelle'!$B$4:$B$500,"P1")</f>
        <v>6</v>
      </c>
      <c r="C6" s="3"/>
      <c r="D6" s="3" t="s">
        <v>24</v>
      </c>
      <c r="E6" s="3">
        <f>COUNTIF('Checklist manuelle'!$I$4:$I$500,"Réussi")</f>
        <v>40</v>
      </c>
      <c r="F6" s="3"/>
    </row>
    <row r="7" spans="1:8" ht="15">
      <c r="A7" s="3" t="s">
        <v>599</v>
      </c>
      <c r="B7" s="3">
        <f>COUNTIF('Checklist manuelle'!$I$4:$I$500,"Réussi")+COUNTIF('Checklist manuelle'!$I$4:$I$500,"Échoué")</f>
        <v>42</v>
      </c>
      <c r="C7" s="3"/>
      <c r="D7" s="3" t="s">
        <v>102</v>
      </c>
      <c r="E7" s="3">
        <f>COUNTIF('Checklist manuelle'!$I$4:$I$500,"Échoué")</f>
        <v>2</v>
      </c>
      <c r="F7" s="3"/>
    </row>
    <row r="8" spans="1:8">
      <c r="A8" s="3" t="s">
        <v>600</v>
      </c>
      <c r="B8" s="3">
        <f>COUNTIF('Checklist manuelle'!$I$4:$I$500,"À tester")+COUNTIF('Checklist manuelle'!$I$4:$I$500,"En cours")+COUNTIF('Checklist manuelle'!$I$4:$I$500,"Bloqué")</f>
        <v>20</v>
      </c>
      <c r="C8" s="3"/>
      <c r="D8" s="3" t="s">
        <v>601</v>
      </c>
      <c r="E8" s="3">
        <f>COUNTIF('Checklist manuelle'!$I$4:$I$500,"Bloqué")</f>
        <v>0</v>
      </c>
      <c r="F8" s="3"/>
    </row>
    <row r="9" spans="1:8">
      <c r="A9" s="3" t="s">
        <v>602</v>
      </c>
      <c r="B9" s="3">
        <f>COUNTIF(Anomalies!$H$5:$H$100,"Ouverte")+COUNTIF(Anomalies!$H$5:$H$100,"En cours")</f>
        <v>2</v>
      </c>
      <c r="C9" s="3"/>
      <c r="D9" s="3"/>
      <c r="E9" s="3"/>
      <c r="F9" s="3"/>
    </row>
    <row r="10" spans="1:8">
      <c r="A10" s="3"/>
      <c r="B10" s="3"/>
      <c r="C10" s="3"/>
      <c r="D10" s="3"/>
      <c r="E10" s="3"/>
      <c r="F10" s="3"/>
    </row>
    <row r="11" spans="1:8">
      <c r="A11" s="3"/>
      <c r="B11" s="3"/>
      <c r="C11" s="3"/>
      <c r="D11" s="3"/>
      <c r="E11" s="3"/>
      <c r="F11" s="3"/>
    </row>
    <row r="12" spans="1:8">
      <c r="A12" s="16" t="s">
        <v>603</v>
      </c>
      <c r="B12" s="18" t="s">
        <v>604</v>
      </c>
      <c r="C12" s="18" t="s">
        <v>605</v>
      </c>
      <c r="D12" s="18" t="s">
        <v>606</v>
      </c>
      <c r="E12" s="18" t="s">
        <v>607</v>
      </c>
      <c r="F12" s="17" t="s">
        <v>608</v>
      </c>
    </row>
    <row r="13" spans="1:8">
      <c r="A13" s="3" t="s">
        <v>47</v>
      </c>
      <c r="B13" s="3">
        <f>COUNTIF('Checklist manuelle'!$C$4:$C$500,"Admin")+COUNTIF('Checklist manuelle'!$C$4:$C$500,"Admin/Technico")+COUNTIF('Checklist manuelle'!$C$4:$C$500,"Admin/Assistante/Technico")+COUNTIF('Checklist manuelle'!$C$4:$C$500,"Admin/Assistante")</f>
        <v>19</v>
      </c>
      <c r="C13" s="3">
        <f>COUNTIFS('Checklist manuelle'!$C$4:$C$500,"Admin",'Checklist manuelle'!$I$4:$I$500,"Réussi")+COUNTIFS('Checklist manuelle'!$C$4:$C$500,"Admin/Technico",'Checklist manuelle'!$I$4:$I$500,"Réussi")+COUNTIFS('Checklist manuelle'!$C$4:$C$500,"Admin/Assistante/Technico",'Checklist manuelle'!$I$4:$I$500,"Réussi")+COUNTIFS('Checklist manuelle'!$C$4:$C$500,"Admin/Assistante",'Checklist manuelle'!$I$4:$I$500,"Réussi")</f>
        <v>13</v>
      </c>
      <c r="D13" s="3">
        <f>COUNTIFS('Checklist manuelle'!$C$4:$C$500,"Admin",'Checklist manuelle'!$I$4:$I$500,"Échoué")+COUNTIFS('Checklist manuelle'!$C$4:$C$500,"Admin/Technico",'Checklist manuelle'!$I$4:$I$500,"Échoué")+COUNTIFS('Checklist manuelle'!$C$4:$C$500,"Admin/Assistante/Technico",'Checklist manuelle'!$I$4:$I$500,"Échoué")+COUNTIFS('Checklist manuelle'!$C$4:$C$500,"Admin/Assistante",'Checklist manuelle'!$I$4:$I$500,"Échoué")</f>
        <v>2</v>
      </c>
      <c r="E13" s="3">
        <f>COUNTIFS('Checklist manuelle'!$C$4:$C$500,"Admin",'Checklist manuelle'!$I$4:$I$500,"À tester")+COUNTIFS('Checklist manuelle'!$C$4:$C$500,"Admin/Technico",'Checklist manuelle'!$I$4:$I$500,"À tester")+COUNTIFS('Checklist manuelle'!$C$4:$C$500,"Admin/Assistante/Technico",'Checklist manuelle'!$I$4:$I$500,"À tester")+COUNTIFS('Checklist manuelle'!$C$4:$C$500,"Admin/Assistante",'Checklist manuelle'!$I$4:$I$500,"À tester")+COUNTIFS('Checklist manuelle'!$C$4:$C$500,"Admin",'Checklist manuelle'!$I$4:$I$500,"En cours")+COUNTIFS('Checklist manuelle'!$C$4:$C$500,"Admin/Technico",'Checklist manuelle'!$I$4:$I$500,"En cours")+COUNTIFS('Checklist manuelle'!$C$4:$C$500,"Admin/Assistante/Technico",'Checklist manuelle'!$I$4:$I$500,"En cours")+COUNTIFS('Checklist manuelle'!$C$4:$C$500,"Admin/Assistante",'Checklist manuelle'!$I$4:$I$500,"En cours")+COUNTIFS('Checklist manuelle'!$C$4:$C$500,"Admin",'Checklist manuelle'!$I$4:$I$500,"Bloqué")+COUNTIFS('Checklist manuelle'!$C$4:$C$500,"Admin/Technico",'Checklist manuelle'!$I$4:$I$500,"Bloqué")+COUNTIFS('Checklist manuelle'!$C$4:$C$500,"Admin/Assistante/Technico",'Checklist manuelle'!$I$4:$I$500,"Bloqué")+COUNTIFS('Checklist manuelle'!$C$4:$C$500,"Admin/Assistante",'Checklist manuelle'!$I$4:$I$500,"Bloqué")</f>
        <v>4</v>
      </c>
      <c r="F13" s="4">
        <f t="shared" ref="F13:F18" si="0">IF(B13=0,0,C13/B13)</f>
        <v>0.68421052631578949</v>
      </c>
    </row>
    <row r="14" spans="1:8">
      <c r="A14" s="3" t="s">
        <v>146</v>
      </c>
      <c r="B14" s="3">
        <f>COUNTIF('Checklist manuelle'!$C$4:$C$500,"Assistante")+COUNTIF('Checklist manuelle'!$C$4:$C$500,"Admin/Assistante/Technico")+COUNTIF('Checklist manuelle'!$C$4:$C$500,"Admin/Assistante")</f>
        <v>9</v>
      </c>
      <c r="C14" s="3">
        <f>COUNTIFS('Checklist manuelle'!$C$4:$C$500,"Assistante",'Checklist manuelle'!$I$4:$I$500,"Réussi")+COUNTIFS('Checklist manuelle'!$C$4:$C$500,"Admin/Assistante/Technico",'Checklist manuelle'!$I$4:$I$500,"Réussi")+COUNTIFS('Checklist manuelle'!$C$4:$C$500,"Admin/Assistante",'Checklist manuelle'!$I$4:$I$500,"Réussi")</f>
        <v>3</v>
      </c>
      <c r="D14" s="3">
        <f>COUNTIFS('Checklist manuelle'!$C$4:$C$500,"Assistante",'Checklist manuelle'!$I$4:$I$500,"Échoué")+COUNTIFS('Checklist manuelle'!$C$4:$C$500,"Admin/Assistante/Technico",'Checklist manuelle'!$I$4:$I$500,"Échoué")+COUNTIFS('Checklist manuelle'!$C$4:$C$500,"Admin/Assistante",'Checklist manuelle'!$I$4:$I$500,"Échoué")</f>
        <v>0</v>
      </c>
      <c r="E14" s="3">
        <f>COUNTIFS('Checklist manuelle'!$C$4:$C$500,"Assistante",'Checklist manuelle'!$I$4:$I$500,"À tester")+COUNTIFS('Checklist manuelle'!$C$4:$C$500,"Admin/Assistante/Technico",'Checklist manuelle'!$I$4:$I$500,"À tester")+COUNTIFS('Checklist manuelle'!$C$4:$C$500,"Admin/Assistante",'Checklist manuelle'!$I$4:$I$500,"À tester")+COUNTIFS('Checklist manuelle'!$C$4:$C$500,"Assistante",'Checklist manuelle'!$I$4:$I$500,"En cours")+COUNTIFS('Checklist manuelle'!$C$4:$C$500,"Admin/Assistante/Technico",'Checklist manuelle'!$I$4:$I$500,"En cours")+COUNTIFS('Checklist manuelle'!$C$4:$C$500,"Admin/Assistante",'Checklist manuelle'!$I$4:$I$500,"En cours")+COUNTIFS('Checklist manuelle'!$C$4:$C$500,"Assistante",'Checklist manuelle'!$I$4:$I$500,"Bloqué")+COUNTIFS('Checklist manuelle'!$C$4:$C$500,"Admin/Assistante/Technico",'Checklist manuelle'!$I$4:$I$500,"Bloqué")+COUNTIFS('Checklist manuelle'!$C$4:$C$500,"Admin/Assistante",'Checklist manuelle'!$I$4:$I$500,"Bloqué")</f>
        <v>6</v>
      </c>
      <c r="F14" s="4">
        <f t="shared" si="0"/>
        <v>0.33333333333333331</v>
      </c>
    </row>
    <row r="15" spans="1:8">
      <c r="A15" s="3" t="s">
        <v>179</v>
      </c>
      <c r="B15" s="3">
        <f>COUNTIF('Checklist manuelle'!$C$4:$C$500,"Technico")+COUNTIF('Checklist manuelle'!$C$4:$C$500,"Admin/Technico")+COUNTIF('Checklist manuelle'!$C$4:$C$500,"Admin/Assistante/Technico")+COUNTIF('Checklist manuelle'!$C$4:$C$500,"Technico/Chef de chantier")</f>
        <v>17</v>
      </c>
      <c r="C15" s="3">
        <f>COUNTIFS('Checklist manuelle'!$C$4:$C$500,"Technico",'Checklist manuelle'!$I$4:$I$500,"Réussi")+COUNTIFS('Checklist manuelle'!$C$4:$C$500,"Admin/Technico",'Checklist manuelle'!$I$4:$I$500,"Réussi")+COUNTIFS('Checklist manuelle'!$C$4:$C$500,"Admin/Assistante/Technico",'Checklist manuelle'!$I$4:$I$500,"Réussi")+COUNTIFS('Checklist manuelle'!$C$4:$C$500,"Technico/Chef de chantier",'Checklist manuelle'!$I$4:$I$500,"Réussi")</f>
        <v>7</v>
      </c>
      <c r="D15" s="3">
        <f>COUNTIFS('Checklist manuelle'!$C$4:$C$500,"Technico",'Checklist manuelle'!$I$4:$I$500,"Échoué")+COUNTIFS('Checklist manuelle'!$C$4:$C$500,"Admin/Technico",'Checklist manuelle'!$I$4:$I$500,"Échoué")+COUNTIFS('Checklist manuelle'!$C$4:$C$500,"Admin/Assistante/Technico",'Checklist manuelle'!$I$4:$I$500,"Échoué")+COUNTIFS('Checklist manuelle'!$C$4:$C$500,"Technico/Chef de chantier",'Checklist manuelle'!$I$4:$I$500,"Échoué")</f>
        <v>0</v>
      </c>
      <c r="E15" s="3">
        <f>COUNTIFS('Checklist manuelle'!$C$4:$C$500,"Technico",'Checklist manuelle'!$I$4:$I$500,"À tester")+COUNTIFS('Checklist manuelle'!$C$4:$C$500,"Admin/Technico",'Checklist manuelle'!$I$4:$I$500,"À tester")+COUNTIFS('Checklist manuelle'!$C$4:$C$500,"Admin/Assistante/Technico",'Checklist manuelle'!$I$4:$I$500,"À tester")+COUNTIFS('Checklist manuelle'!$C$4:$C$500,"Technico/Chef de chantier",'Checklist manuelle'!$I$4:$I$500,"À tester")+COUNTIFS('Checklist manuelle'!$C$4:$C$500,"Technico",'Checklist manuelle'!$I$4:$I$500,"En cours")+COUNTIFS('Checklist manuelle'!$C$4:$C$500,"Admin/Technico",'Checklist manuelle'!$I$4:$I$500,"En cours")+COUNTIFS('Checklist manuelle'!$C$4:$C$500,"Admin/Assistante/Technico",'Checklist manuelle'!$I$4:$I$500,"En cours")+COUNTIFS('Checklist manuelle'!$C$4:$C$500,"Technico/Chef de chantier",'Checklist manuelle'!$I$4:$I$500,"En cours")+COUNTIFS('Checklist manuelle'!$C$4:$C$500,"Technico",'Checklist manuelle'!$I$4:$I$500,"Bloqué")+COUNTIFS('Checklist manuelle'!$C$4:$C$500,"Admin/Technico",'Checklist manuelle'!$I$4:$I$500,"Bloqué")+COUNTIFS('Checklist manuelle'!$C$4:$C$500,"Admin/Assistante/Technico",'Checklist manuelle'!$I$4:$I$500,"Bloqué")+COUNTIFS('Checklist manuelle'!$C$4:$C$500,"Technico/Chef de chantier",'Checklist manuelle'!$I$4:$I$500,"Bloqué")</f>
        <v>10</v>
      </c>
      <c r="F15" s="4">
        <f t="shared" si="0"/>
        <v>0.41176470588235292</v>
      </c>
    </row>
    <row r="16" spans="1:8">
      <c r="A16" s="3" t="s">
        <v>226</v>
      </c>
      <c r="B16" s="3">
        <f>COUNTIF('Checklist manuelle'!$C$4:$C$500,"Chef de chantier")+COUNTIF('Checklist manuelle'!$C$4:$C$500,"Technico/Chef de chantier")</f>
        <v>7</v>
      </c>
      <c r="C16" s="3">
        <f>COUNTIFS('Checklist manuelle'!$C$4:$C$500,"Chef de chantier",'Checklist manuelle'!$I$4:$I$500,"Réussi")+COUNTIFS('Checklist manuelle'!$C$4:$C$500,"Technico/Chef de chantier",'Checklist manuelle'!$I$4:$I$500,"Réussi")</f>
        <v>7</v>
      </c>
      <c r="D16" s="3">
        <f>COUNTIFS('Checklist manuelle'!$C$4:$C$500,"Chef de chantier",'Checklist manuelle'!$I$4:$I$500,"Échoué")+COUNTIFS('Checklist manuelle'!$C$4:$C$500,"Technico/Chef de chantier",'Checklist manuelle'!$I$4:$I$500,"Échoué")</f>
        <v>0</v>
      </c>
      <c r="E16" s="3">
        <f>COUNTIFS('Checklist manuelle'!$C$4:$C$500,"Chef de chantier",'Checklist manuelle'!$I$4:$I$500,"À tester")+COUNTIFS('Checklist manuelle'!$C$4:$C$500,"Technico/Chef de chantier",'Checklist manuelle'!$I$4:$I$500,"À tester")+COUNTIFS('Checklist manuelle'!$C$4:$C$500,"Chef de chantier",'Checklist manuelle'!$I$4:$I$500,"En cours")+COUNTIFS('Checklist manuelle'!$C$4:$C$500,"Technico/Chef de chantier",'Checklist manuelle'!$I$4:$I$500,"En cours")+COUNTIFS('Checklist manuelle'!$C$4:$C$500,"Chef de chantier",'Checklist manuelle'!$I$4:$I$500,"Bloqué")+COUNTIFS('Checklist manuelle'!$C$4:$C$500,"Technico/Chef de chantier",'Checklist manuelle'!$I$4:$I$500,"Bloqué")</f>
        <v>0</v>
      </c>
      <c r="F16" s="4">
        <f t="shared" si="0"/>
        <v>1</v>
      </c>
    </row>
    <row r="17" spans="1:6">
      <c r="A17" s="3" t="s">
        <v>259</v>
      </c>
      <c r="B17" s="3">
        <f>COUNTIF('Checklist manuelle'!$C$4:$C$500,"Sous-traitant")</f>
        <v>11</v>
      </c>
      <c r="C17" s="3">
        <f>COUNTIFS('Checklist manuelle'!$C$4:$C$500,"Sous-traitant",'Checklist manuelle'!$I$4:$I$500,"Réussi")</f>
        <v>8</v>
      </c>
      <c r="D17" s="3">
        <f>COUNTIFS('Checklist manuelle'!$C$4:$C$500,"Sous-traitant",'Checklist manuelle'!$I$4:$I$500,"Échoué")</f>
        <v>0</v>
      </c>
      <c r="E17" s="3">
        <f>COUNTIFS('Checklist manuelle'!$C$4:$C$500,"Sous-traitant",'Checklist manuelle'!$I$4:$I$500,"À tester")+COUNTIFS('Checklist manuelle'!$C$4:$C$500,"Sous-traitant",'Checklist manuelle'!$I$4:$I$500,"En cours")+COUNTIFS('Checklist manuelle'!$C$4:$C$500,"Sous-traitant",'Checklist manuelle'!$I$4:$I$500,"Bloqué")</f>
        <v>3</v>
      </c>
      <c r="F17" s="4">
        <f t="shared" si="0"/>
        <v>0.72727272727272729</v>
      </c>
    </row>
    <row r="18" spans="1:6">
      <c r="A18" s="3" t="s">
        <v>609</v>
      </c>
      <c r="B18" s="3">
        <f>COUNTIF('Checklist manuelle'!$C$4:$C$500,"Tous")+COUNTIF('Checklist manuelle'!$C$4:$C$500,"Public")</f>
        <v>7</v>
      </c>
      <c r="C18" s="3">
        <f>COUNTIFS('Checklist manuelle'!$C$4:$C$500,"Tous",'Checklist manuelle'!$I$4:$I$500,"Réussi")+COUNTIFS('Checklist manuelle'!$C$4:$C$500,"Public",'Checklist manuelle'!$I$4:$I$500,"Réussi")</f>
        <v>6</v>
      </c>
      <c r="D18" s="3">
        <f>COUNTIFS('Checklist manuelle'!$C$4:$C$500,"Tous",'Checklist manuelle'!$I$4:$I$500,"Échoué")+COUNTIFS('Checklist manuelle'!$C$4:$C$500,"Public",'Checklist manuelle'!$I$4:$I$500,"Échoué")</f>
        <v>0</v>
      </c>
      <c r="E18" s="3">
        <f>COUNTIFS('Checklist manuelle'!$C$4:$C$500,"Tous",'Checklist manuelle'!$I$4:$I$500,"À tester")+COUNTIFS('Checklist manuelle'!$C$4:$C$500,"Public",'Checklist manuelle'!$I$4:$I$500,"À tester")+COUNTIFS('Checklist manuelle'!$C$4:$C$500,"Tous",'Checklist manuelle'!$I$4:$I$500,"En cours")+COUNTIFS('Checklist manuelle'!$C$4:$C$500,"Public",'Checklist manuelle'!$I$4:$I$500,"En cours")+COUNTIFS('Checklist manuelle'!$C$4:$C$500,"Tous",'Checklist manuelle'!$I$4:$I$500,"Bloqué")+COUNTIFS('Checklist manuelle'!$C$4:$C$500,"Public",'Checklist manuelle'!$I$4:$I$500,"Bloqué")</f>
        <v>1</v>
      </c>
      <c r="F18" s="4">
        <f t="shared" si="0"/>
        <v>0.8571428571428571</v>
      </c>
    </row>
  </sheetData>
  <mergeCells count="1">
    <mergeCell ref="A1:H1"/>
  </mergeCells>
  <conditionalFormatting sqref="E4:E8">
    <cfRule type="dataBar" priority="1">
      <dataBar>
        <cfvo type="min"/>
        <cfvo type="max"/>
        <color rgb="FF2563EB"/>
      </dataBar>
    </cfRule>
  </conditionalFormatting>
  <conditionalFormatting sqref="F13:F18">
    <cfRule type="colorScale" priority="2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D4:D8">
    <cfRule type="expression" dxfId="4" priority="3">
      <formula>D4="Réussi"</formula>
    </cfRule>
    <cfRule type="expression" dxfId="3" priority="4">
      <formula>D4="Échoué"</formula>
    </cfRule>
    <cfRule type="expression" dxfId="2" priority="5">
      <formula>D4="À tester"</formula>
    </cfRule>
    <cfRule type="expression" dxfId="1" priority="6">
      <formula>D4="En cours"</formula>
    </cfRule>
    <cfRule type="expression" dxfId="0" priority="7">
      <formula>D4="Bloqué"</formula>
    </cfRule>
  </conditionalFormatting>
  <conditionalFormatting sqref="E4:E8">
    <cfRule type="dataBar" priority="8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{FB05434F-4DDC-E8D1-1FB8-D6CE94279745}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B05434F-4DDC-E8D1-1FB8-D6CE94279745}">
            <x14:dataBar>
              <x14:cfvo type="min"/>
              <x14:cfvo type="max"/>
              <x14:negativeFillColor auto="1"/>
              <x14:axisColor auto="1"/>
            </x14:dataBar>
          </x14:cfRule>
          <xm:sqref>E4:E8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2026-07-28T12:43:03Z</dcterms:created>
  <dcterms:modified xsi:type="dcterms:W3CDTF">2026-07-28T12:46:17Z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d6d5524-1d94-434a-aece-5564685efc06_Enabled">
    <vt:lpwstr>true</vt:lpwstr>
  </property>
  <property fmtid="{D5CDD505-2E9C-101B-9397-08002B2CF9AE}" pid="3" name="MSIP_Label_ad6d5524-1d94-434a-aece-5564685efc06_SetDate">
    <vt:lpwstr>2026-07-28T12:44:08Z</vt:lpwstr>
  </property>
  <property fmtid="{D5CDD505-2E9C-101B-9397-08002B2CF9AE}" pid="4" name="MSIP_Label_ad6d5524-1d94-434a-aece-5564685efc06_Method">
    <vt:lpwstr>Privileged</vt:lpwstr>
  </property>
  <property fmtid="{D5CDD505-2E9C-101B-9397-08002B2CF9AE}" pid="5" name="MSIP_Label_ad6d5524-1d94-434a-aece-5564685efc06_Name">
    <vt:lpwstr>defa4170-0d19-0005-0000-bc88714345d2</vt:lpwstr>
  </property>
  <property fmtid="{D5CDD505-2E9C-101B-9397-08002B2CF9AE}" pid="6" name="MSIP_Label_ad6d5524-1d94-434a-aece-5564685efc06_SiteId">
    <vt:lpwstr>1e725f1c-ac25-48f3-81bb-a8b935ea5e03</vt:lpwstr>
  </property>
  <property fmtid="{D5CDD505-2E9C-101B-9397-08002B2CF9AE}" pid="7" name="MSIP_Label_ad6d5524-1d94-434a-aece-5564685efc06_ActionId">
    <vt:lpwstr>3ce6f58b-8039-4ae3-9ae6-40628ee33d0c</vt:lpwstr>
  </property>
  <property fmtid="{D5CDD505-2E9C-101B-9397-08002B2CF9AE}" pid="8" name="MSIP_Label_ad6d5524-1d94-434a-aece-5564685efc06_ContentBits">
    <vt:lpwstr>0</vt:lpwstr>
  </property>
  <property fmtid="{D5CDD505-2E9C-101B-9397-08002B2CF9AE}" pid="9" name="MSIP_Label_ad6d5524-1d94-434a-aece-5564685efc06_Tag">
    <vt:lpwstr>10, 0, 1, 2</vt:lpwstr>
  </property>
</Properties>
</file>